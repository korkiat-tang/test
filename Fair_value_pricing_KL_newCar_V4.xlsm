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01"/>
  <workbookPr codeName="ThisWorkbook" defaultThemeVersion="124226"/>
  <xr:revisionPtr revIDLastSave="0" documentId="11_44917E51E22F999B7C538E3D99C15E7320EFF411" xr6:coauthVersionLast="47" xr6:coauthVersionMax="47" xr10:uidLastSave="{00000000-0000-0000-0000-000000000000}"/>
  <bookViews>
    <workbookView xWindow="675" yWindow="-30" windowWidth="24105" windowHeight="5145" tabRatio="801" xr2:uid="{00000000-000D-0000-FFFF-FFFF00000000}"/>
  </bookViews>
  <sheets>
    <sheet name="Template_Pricing SPV" sheetId="64" r:id="rId1"/>
    <sheet name="Data_TABLE" sheetId="71" r:id="rId2"/>
    <sheet name="Pricing SPV" sheetId="72" r:id="rId3"/>
    <sheet name="PD" sheetId="66" state="hidden" r:id="rId4"/>
    <sheet name="New Car info" sheetId="69" r:id="rId5"/>
  </sheets>
  <externalReferences>
    <externalReference r:id="rId6"/>
  </externalReferences>
  <definedNames>
    <definedName name="anscount" hidden="1">1</definedName>
    <definedName name="capitalbenefitrate">[1]Input!$B$13</definedName>
    <definedName name="cash">[1]Input!$B$4</definedName>
    <definedName name="Change" localSheetId="2">#REF!</definedName>
    <definedName name="Change">#REF!</definedName>
    <definedName name="ChangeLength" localSheetId="2">#REF!</definedName>
    <definedName name="ChangeLength">#REF!</definedName>
    <definedName name="collateraltype" localSheetId="2">#REF!</definedName>
    <definedName name="collateraltype">#REF!</definedName>
    <definedName name="collateralvalue" localSheetId="2">#REF!</definedName>
    <definedName name="collateralvalue">#REF!</definedName>
    <definedName name="correlation">[1]Input!$B$18</definedName>
    <definedName name="costofequity">[1]Input!$B$14</definedName>
    <definedName name="creditcapmultiplier">[1]Input!$B$19</definedName>
    <definedName name="creditgrade" localSheetId="2">#REF!</definedName>
    <definedName name="creditgrade">#REF!</definedName>
    <definedName name="creditgrade2" localSheetId="2">#REF!</definedName>
    <definedName name="creditgrade2">#REF!</definedName>
    <definedName name="Edit" localSheetId="2">#REF!</definedName>
    <definedName name="Edit">#REF!</definedName>
    <definedName name="expenses" localSheetId="2">#REF!</definedName>
    <definedName name="expenses">#REF!</definedName>
    <definedName name="FixedRate" localSheetId="2">#REF!</definedName>
    <definedName name="FixedRate">#REF!</definedName>
    <definedName name="float" localSheetId="2">#REF!</definedName>
    <definedName name="float">#REF!</definedName>
    <definedName name="FloatRate" localSheetId="2">#REF!</definedName>
    <definedName name="FloatRate">#REF!</definedName>
    <definedName name="fundingrate">[1]Input!$B$12</definedName>
    <definedName name="GivenRAROC" localSheetId="2">#REF!</definedName>
    <definedName name="GivenRAROC">#REF!</definedName>
    <definedName name="GivenSpread" localSheetId="2">#REF!</definedName>
    <definedName name="GivenSpread">#REF!</definedName>
    <definedName name="Guarantee">[1]Input!$B$8</definedName>
    <definedName name="InterestCharge" localSheetId="2">#REF!</definedName>
    <definedName name="InterestCharge">#REF!</definedName>
    <definedName name="InterestChargeFixed" localSheetId="2">#REF!</definedName>
    <definedName name="InterestChargeFixed">#REF!</definedName>
    <definedName name="InterestChargeFloat" localSheetId="2">#REF!</definedName>
    <definedName name="InterestChargeFloat">#REF!</definedName>
    <definedName name="Land">[1]Input!$B$5</definedName>
    <definedName name="landmax">[1]lgd!$C$3</definedName>
    <definedName name="length" localSheetId="2">#REF!</definedName>
    <definedName name="length">#REF!</definedName>
    <definedName name="LengthChange" localSheetId="2">#REF!</definedName>
    <definedName name="LengthChange">#REF!</definedName>
    <definedName name="LEQ">[1]Input!$B$23</definedName>
    <definedName name="LGD" localSheetId="2">[1]Input!#REF!</definedName>
    <definedName name="LGD">[1]Input!#REF!</definedName>
    <definedName name="LgdMatrix">[1]lgd!$B$2:$B$6</definedName>
    <definedName name="Machine">[1]Input!$B$7</definedName>
    <definedName name="machinemax">[1]lgd!$C$5</definedName>
    <definedName name="MLR" localSheetId="2">#REF!</definedName>
    <definedName name="MLR">#REF!</definedName>
    <definedName name="nixmultiplier">[1]Input!$B$20</definedName>
    <definedName name="Realestate">[1]Input!$B$6</definedName>
    <definedName name="realestatemax">[1]lgd!$C$4</definedName>
    <definedName name="s2lgd">[1]Input!$B$22</definedName>
    <definedName name="Spread_Average" localSheetId="2">#REF!</definedName>
    <definedName name="Spread_Average">#REF!</definedName>
    <definedName name="Tax">[1]Input!$B$21</definedName>
    <definedName name="Term">[1]Input!$B$3</definedName>
    <definedName name="Ty" localSheetId="2">#REF!</definedName>
    <definedName name="Ty">#REF!</definedName>
    <definedName name="Type" localSheetId="2">#REF!</definedName>
    <definedName name="Type">#REF!</definedName>
    <definedName name="U" localSheetId="2">#REF!</definedName>
    <definedName name="U">#REF!</definedName>
    <definedName name="UnsecuredLGD">[1]lgd!$B$7</definedName>
    <definedName name="YrFixed" localSheetId="2">#REF!</definedName>
    <definedName name="YrFixed">#REF!</definedName>
    <definedName name="YrFloat" localSheetId="2">#REF!</definedName>
    <definedName name="YrFloa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71" l="1"/>
  <c r="D13" i="72" l="1"/>
  <c r="D21" i="72" s="1"/>
  <c r="S3" i="71"/>
  <c r="S22" i="71"/>
  <c r="S21" i="71"/>
  <c r="S20" i="71"/>
  <c r="S19" i="71"/>
  <c r="S18" i="71"/>
  <c r="S17" i="71"/>
  <c r="S16" i="71"/>
  <c r="S15" i="71"/>
  <c r="S14" i="71"/>
  <c r="S13" i="71"/>
  <c r="S12" i="71"/>
  <c r="S11" i="71"/>
  <c r="S10" i="71"/>
  <c r="S9" i="71"/>
  <c r="S8" i="71"/>
  <c r="S7" i="71"/>
  <c r="S6" i="71"/>
  <c r="S5" i="71"/>
  <c r="S4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R5" i="71"/>
  <c r="R4" i="71"/>
  <c r="R3" i="71"/>
  <c r="D30" i="64"/>
  <c r="D55" i="64"/>
  <c r="F55" i="64" s="1"/>
  <c r="D31" i="64"/>
  <c r="D56" i="64" s="1"/>
  <c r="D30" i="72" l="1"/>
  <c r="D31" i="72"/>
  <c r="D16" i="72" l="1"/>
  <c r="V3" i="71"/>
  <c r="K3" i="71"/>
  <c r="H3" i="71"/>
  <c r="D20" i="64"/>
  <c r="D23" i="64"/>
  <c r="D34" i="64"/>
  <c r="V22" i="71"/>
  <c r="K22" i="71"/>
  <c r="H22" i="71"/>
  <c r="V21" i="71"/>
  <c r="K21" i="71"/>
  <c r="H21" i="71"/>
  <c r="V20" i="71"/>
  <c r="K20" i="71"/>
  <c r="H20" i="71"/>
  <c r="V19" i="71"/>
  <c r="K19" i="71"/>
  <c r="H19" i="71"/>
  <c r="V18" i="71"/>
  <c r="K18" i="71"/>
  <c r="H18" i="71"/>
  <c r="V17" i="71"/>
  <c r="K17" i="71"/>
  <c r="H17" i="71"/>
  <c r="V16" i="71"/>
  <c r="K16" i="71"/>
  <c r="H16" i="71"/>
  <c r="V15" i="71"/>
  <c r="K15" i="71"/>
  <c r="H15" i="71"/>
  <c r="V14" i="71"/>
  <c r="K14" i="71"/>
  <c r="H14" i="71"/>
  <c r="V13" i="71"/>
  <c r="K13" i="71"/>
  <c r="H13" i="71"/>
  <c r="V12" i="71"/>
  <c r="K12" i="71"/>
  <c r="H12" i="71"/>
  <c r="V11" i="71"/>
  <c r="K11" i="71"/>
  <c r="H11" i="71"/>
  <c r="V10" i="71"/>
  <c r="K10" i="71"/>
  <c r="H10" i="71"/>
  <c r="V9" i="71"/>
  <c r="K9" i="71"/>
  <c r="H9" i="71"/>
  <c r="V8" i="71"/>
  <c r="K8" i="71"/>
  <c r="H8" i="71"/>
  <c r="V7" i="71"/>
  <c r="K7" i="71"/>
  <c r="H7" i="71"/>
  <c r="V6" i="71"/>
  <c r="K6" i="71"/>
  <c r="H6" i="71"/>
  <c r="D32" i="72" l="1"/>
  <c r="D56" i="72"/>
  <c r="D55" i="72"/>
  <c r="D25" i="72"/>
  <c r="D47" i="72" s="1"/>
  <c r="D24" i="72"/>
  <c r="D46" i="72" s="1"/>
  <c r="D22" i="72"/>
  <c r="D43" i="72"/>
  <c r="D33" i="72"/>
  <c r="D29" i="72"/>
  <c r="D51" i="72" s="1"/>
  <c r="D19" i="72"/>
  <c r="D28" i="72"/>
  <c r="D52" i="72" s="1"/>
  <c r="D18" i="72"/>
  <c r="D27" i="72"/>
  <c r="D17" i="72"/>
  <c r="D26" i="72"/>
  <c r="D48" i="72" s="1"/>
  <c r="G39" i="72" l="1"/>
  <c r="H39" i="72" l="1"/>
  <c r="G52" i="72"/>
  <c r="G51" i="72"/>
  <c r="H52" i="72"/>
  <c r="H51" i="72"/>
  <c r="I39" i="72"/>
  <c r="J39" i="72" l="1"/>
  <c r="J52" i="72" s="1"/>
  <c r="I52" i="72"/>
  <c r="I51" i="72"/>
  <c r="K39" i="72" l="1"/>
  <c r="J51" i="72"/>
  <c r="K52" i="72" l="1"/>
  <c r="K51" i="72"/>
  <c r="L39" i="72"/>
  <c r="M39" i="72" l="1"/>
  <c r="L52" i="72"/>
  <c r="L51" i="72"/>
  <c r="N39" i="72"/>
  <c r="M52" i="72"/>
  <c r="M51" i="72"/>
  <c r="N52" i="72" l="1"/>
  <c r="O39" i="72"/>
  <c r="N51" i="72"/>
  <c r="O51" i="72" l="1"/>
  <c r="P39" i="72"/>
  <c r="O52" i="72"/>
  <c r="P52" i="72" l="1"/>
  <c r="Q39" i="72"/>
  <c r="P51" i="72"/>
  <c r="Q52" i="72" l="1"/>
  <c r="Q51" i="72"/>
  <c r="R39" i="72"/>
  <c r="R52" i="72" l="1"/>
  <c r="S39" i="72"/>
  <c r="R51" i="72"/>
  <c r="S51" i="72" l="1"/>
  <c r="S52" i="72"/>
  <c r="T39" i="72"/>
  <c r="U39" i="72" l="1"/>
  <c r="T51" i="72"/>
  <c r="T52" i="72"/>
  <c r="U51" i="72" l="1"/>
  <c r="U52" i="72"/>
  <c r="V39" i="72"/>
  <c r="V52" i="72" s="1"/>
  <c r="W39" i="72" l="1"/>
  <c r="W51" i="72" s="1"/>
  <c r="V51" i="72"/>
  <c r="X39" i="72" l="1"/>
  <c r="X52" i="72" s="1"/>
  <c r="W52" i="72"/>
  <c r="Y39" i="72" l="1"/>
  <c r="X51" i="72"/>
  <c r="Y52" i="72"/>
  <c r="Y51" i="72"/>
  <c r="Z39" i="72"/>
  <c r="Z52" i="72" l="1"/>
  <c r="Z51" i="72"/>
  <c r="AA39" i="72"/>
  <c r="AA51" i="72" l="1"/>
  <c r="AA52" i="72"/>
  <c r="AB39" i="72"/>
  <c r="AB51" i="72" l="1"/>
  <c r="AB52" i="72"/>
  <c r="AC39" i="72"/>
  <c r="AC52" i="72" l="1"/>
  <c r="AC51" i="72"/>
  <c r="AD39" i="72"/>
  <c r="AD52" i="72" l="1"/>
  <c r="AD51" i="72"/>
  <c r="AE39" i="72"/>
  <c r="AE51" i="72" l="1"/>
  <c r="AE52" i="72"/>
  <c r="AF39" i="72"/>
  <c r="AF52" i="72" l="1"/>
  <c r="AF51" i="72"/>
  <c r="AG39" i="72"/>
  <c r="AG52" i="72" l="1"/>
  <c r="AG51" i="72"/>
  <c r="AH39" i="72"/>
  <c r="AH52" i="72" l="1"/>
  <c r="AI39" i="72"/>
  <c r="AH51" i="72"/>
  <c r="AI52" i="72" l="1"/>
  <c r="AJ39" i="72"/>
  <c r="AI51" i="72"/>
  <c r="AJ51" i="72" l="1"/>
  <c r="AJ52" i="72"/>
  <c r="AK39" i="72"/>
  <c r="AK51" i="72" l="1"/>
  <c r="AL39" i="72"/>
  <c r="AK52" i="72"/>
  <c r="AL52" i="72" l="1"/>
  <c r="AM39" i="72"/>
  <c r="AL51" i="72"/>
  <c r="AM51" i="72" l="1"/>
  <c r="AM52" i="72"/>
  <c r="AN39" i="72"/>
  <c r="AN52" i="72" l="1"/>
  <c r="AN51" i="72"/>
  <c r="AO39" i="72"/>
  <c r="AO52" i="72" l="1"/>
  <c r="AP39" i="72"/>
  <c r="AO51" i="72"/>
  <c r="AP52" i="72" l="1"/>
  <c r="AP51" i="72"/>
  <c r="AQ39" i="72"/>
  <c r="AQ52" i="72" l="1"/>
  <c r="AQ51" i="72"/>
  <c r="AR39" i="72"/>
  <c r="AR51" i="72" l="1"/>
  <c r="AR52" i="72"/>
  <c r="AS39" i="72"/>
  <c r="AS51" i="72" l="1"/>
  <c r="AS52" i="72"/>
  <c r="AT39" i="72"/>
  <c r="AT52" i="72" l="1"/>
  <c r="AT51" i="72"/>
  <c r="AU39" i="72"/>
  <c r="AU55" i="72" l="1"/>
  <c r="AU56" i="72"/>
  <c r="AU59" i="72"/>
  <c r="AU54" i="72"/>
  <c r="AU58" i="72"/>
  <c r="AU53" i="72"/>
  <c r="AU60" i="72"/>
  <c r="AU51" i="72"/>
  <c r="AU48" i="72"/>
  <c r="AU52" i="72"/>
  <c r="AU47" i="72"/>
  <c r="AU42" i="72"/>
  <c r="AU57" i="72"/>
  <c r="AU43" i="72"/>
  <c r="AU40" i="72"/>
  <c r="AU44" i="72"/>
  <c r="AU45" i="72"/>
  <c r="AU41" i="72"/>
  <c r="AV39" i="72"/>
  <c r="AU50" i="72"/>
  <c r="AU49" i="72"/>
  <c r="AV55" i="72" l="1"/>
  <c r="AV56" i="72"/>
  <c r="AV59" i="72"/>
  <c r="AV54" i="72"/>
  <c r="AV58" i="72"/>
  <c r="AV53" i="72"/>
  <c r="AV52" i="72"/>
  <c r="AV57" i="72"/>
  <c r="AV60" i="72"/>
  <c r="AV47" i="72"/>
  <c r="AV49" i="72"/>
  <c r="AV40" i="72"/>
  <c r="AV51" i="72"/>
  <c r="AV45" i="72"/>
  <c r="AV41" i="72"/>
  <c r="AW39" i="72"/>
  <c r="AV50" i="72"/>
  <c r="AV48" i="72"/>
  <c r="AV44" i="72"/>
  <c r="AV43" i="72"/>
  <c r="AV42" i="72"/>
  <c r="AW55" i="72" l="1"/>
  <c r="AW56" i="72"/>
  <c r="AW54" i="72"/>
  <c r="AW58" i="72"/>
  <c r="AW57" i="72"/>
  <c r="AW52" i="72"/>
  <c r="AW60" i="72"/>
  <c r="AW59" i="72"/>
  <c r="AW53" i="72"/>
  <c r="AW49" i="72"/>
  <c r="AW41" i="72"/>
  <c r="AX39" i="72"/>
  <c r="AW48" i="72"/>
  <c r="AW44" i="72"/>
  <c r="AW50" i="72"/>
  <c r="AW47" i="72"/>
  <c r="AW42" i="72"/>
  <c r="AW45" i="72"/>
  <c r="AW43" i="72"/>
  <c r="AW51" i="72"/>
  <c r="AW40" i="72"/>
  <c r="AX55" i="72" l="1"/>
  <c r="AX56" i="72"/>
  <c r="AX58" i="72"/>
  <c r="AX57" i="72"/>
  <c r="AX60" i="72"/>
  <c r="AX54" i="72"/>
  <c r="AX53" i="72"/>
  <c r="AX59" i="72"/>
  <c r="AX52" i="72"/>
  <c r="AX50" i="72"/>
  <c r="AX49" i="72"/>
  <c r="AX45" i="72"/>
  <c r="AX40" i="72"/>
  <c r="AX48" i="72"/>
  <c r="AX44" i="72"/>
  <c r="AX51" i="72"/>
  <c r="AX42" i="72"/>
  <c r="AX43" i="72"/>
  <c r="AX41" i="72"/>
  <c r="AY39" i="72"/>
  <c r="AX47" i="72"/>
  <c r="AY55" i="72" l="1"/>
  <c r="AY56" i="72"/>
  <c r="AY57" i="72"/>
  <c r="AY60" i="72"/>
  <c r="AY59" i="72"/>
  <c r="AY58" i="72"/>
  <c r="AY51" i="72"/>
  <c r="AY54" i="72"/>
  <c r="AY50" i="72"/>
  <c r="AY48" i="72"/>
  <c r="AY53" i="72"/>
  <c r="AY49" i="72"/>
  <c r="AY47" i="72"/>
  <c r="AY45" i="72"/>
  <c r="AY41" i="72"/>
  <c r="AZ39" i="72"/>
  <c r="AY42" i="72"/>
  <c r="AY52" i="72"/>
  <c r="AY43" i="72"/>
  <c r="AY44" i="72"/>
  <c r="AY40" i="72"/>
  <c r="AZ55" i="72" l="1"/>
  <c r="AZ56" i="72"/>
  <c r="AZ57" i="72"/>
  <c r="AZ60" i="72"/>
  <c r="AZ59" i="72"/>
  <c r="AZ54" i="72"/>
  <c r="AZ53" i="72"/>
  <c r="AZ58" i="72"/>
  <c r="AZ45" i="72"/>
  <c r="AZ44" i="72"/>
  <c r="AZ51" i="72"/>
  <c r="AZ49" i="72"/>
  <c r="AZ47" i="72"/>
  <c r="AZ41" i="72"/>
  <c r="BA39" i="72"/>
  <c r="AZ52" i="72"/>
  <c r="AZ43" i="72"/>
  <c r="AZ40" i="72"/>
  <c r="AZ50" i="72"/>
  <c r="AZ48" i="72"/>
  <c r="AZ42" i="72"/>
  <c r="BA55" i="72" l="1"/>
  <c r="BA56" i="72"/>
  <c r="BA60" i="72"/>
  <c r="BA59" i="72"/>
  <c r="BA54" i="72"/>
  <c r="BA58" i="72"/>
  <c r="BA57" i="72"/>
  <c r="BA53" i="72"/>
  <c r="BA52" i="72"/>
  <c r="BA50" i="72"/>
  <c r="BA49" i="72"/>
  <c r="BA45" i="72"/>
  <c r="BA48" i="72"/>
  <c r="BA51" i="72"/>
  <c r="BA47" i="72"/>
  <c r="BA43" i="72"/>
  <c r="BA42" i="72"/>
  <c r="BA40" i="72"/>
  <c r="BA44" i="72"/>
  <c r="BA41" i="72"/>
  <c r="BB39" i="72"/>
  <c r="BB55" i="72" l="1"/>
  <c r="BB56" i="72"/>
  <c r="BB60" i="72"/>
  <c r="BB59" i="72"/>
  <c r="BB58" i="72"/>
  <c r="BB52" i="72"/>
  <c r="BB50" i="72"/>
  <c r="BB49" i="72"/>
  <c r="BB51" i="72"/>
  <c r="BB57" i="72"/>
  <c r="BB48" i="72"/>
  <c r="BB53" i="72"/>
  <c r="BB45" i="72"/>
  <c r="BB42" i="72"/>
  <c r="BB40" i="72"/>
  <c r="BB54" i="72"/>
  <c r="BB44" i="72"/>
  <c r="BB43" i="72"/>
  <c r="BB41" i="72"/>
  <c r="BB47" i="72"/>
  <c r="BC39" i="72"/>
  <c r="BC55" i="72" l="1"/>
  <c r="BC56" i="72"/>
  <c r="BC59" i="72"/>
  <c r="BC54" i="72"/>
  <c r="BC58" i="72"/>
  <c r="BC57" i="72"/>
  <c r="BC53" i="72"/>
  <c r="BC51" i="72"/>
  <c r="BC52" i="72"/>
  <c r="BC48" i="72"/>
  <c r="BC50" i="72"/>
  <c r="BC47" i="72"/>
  <c r="BC42" i="72"/>
  <c r="BC43" i="72"/>
  <c r="BC60" i="72"/>
  <c r="BC44" i="72"/>
  <c r="BC41" i="72"/>
  <c r="BD39" i="72"/>
  <c r="BC40" i="72"/>
  <c r="BC49" i="72"/>
  <c r="BC45" i="72"/>
  <c r="BD55" i="72" l="1"/>
  <c r="BD56" i="72"/>
  <c r="BD59" i="72"/>
  <c r="BD54" i="72"/>
  <c r="BD58" i="72"/>
  <c r="BD57" i="72"/>
  <c r="BD53" i="72"/>
  <c r="BD52" i="72"/>
  <c r="BD51" i="72"/>
  <c r="BD50" i="72"/>
  <c r="BD47" i="72"/>
  <c r="BD43" i="72"/>
  <c r="BD60" i="72"/>
  <c r="BD40" i="72"/>
  <c r="BD44" i="72"/>
  <c r="BD41" i="72"/>
  <c r="BE39" i="72"/>
  <c r="BD49" i="72"/>
  <c r="BD45" i="72"/>
  <c r="BD48" i="72"/>
  <c r="BD42" i="72"/>
  <c r="BE55" i="72" l="1"/>
  <c r="BE56" i="72"/>
  <c r="BE54" i="72"/>
  <c r="BE58" i="72"/>
  <c r="BE57" i="72"/>
  <c r="BE52" i="72"/>
  <c r="BE60" i="72"/>
  <c r="BE53" i="72"/>
  <c r="BE49" i="72"/>
  <c r="BE41" i="72"/>
  <c r="BF39" i="72"/>
  <c r="BE40" i="72"/>
  <c r="BE59" i="72"/>
  <c r="BE50" i="72"/>
  <c r="BE48" i="72"/>
  <c r="BE45" i="72"/>
  <c r="BE44" i="72"/>
  <c r="BE43" i="72"/>
  <c r="BE51" i="72"/>
  <c r="BE42" i="72"/>
  <c r="BE47" i="72"/>
  <c r="BF55" i="72" l="1"/>
  <c r="BF56" i="72"/>
  <c r="BF58" i="72"/>
  <c r="BF57" i="72"/>
  <c r="BF60" i="72"/>
  <c r="BF54" i="72"/>
  <c r="BF53" i="72"/>
  <c r="BF50" i="72"/>
  <c r="BF49" i="72"/>
  <c r="BF51" i="72"/>
  <c r="BF45" i="72"/>
  <c r="BF40" i="72"/>
  <c r="BF59" i="72"/>
  <c r="BF44" i="72"/>
  <c r="BF41" i="72"/>
  <c r="BG39" i="72"/>
  <c r="BF48" i="72"/>
  <c r="BF47" i="72"/>
  <c r="BF42" i="72"/>
  <c r="BF52" i="72"/>
  <c r="BF43" i="72"/>
  <c r="BG55" i="72" l="1"/>
  <c r="BG56" i="72"/>
  <c r="BG57" i="72"/>
  <c r="BG60" i="72"/>
  <c r="BG59" i="72"/>
  <c r="BG51" i="72"/>
  <c r="BG58" i="72"/>
  <c r="BG52" i="72"/>
  <c r="BG53" i="72"/>
  <c r="BG50" i="72"/>
  <c r="BG44" i="72"/>
  <c r="BG54" i="72"/>
  <c r="BG48" i="72"/>
  <c r="BG47" i="72"/>
  <c r="BG45" i="72"/>
  <c r="BG42" i="72"/>
  <c r="BG49" i="72"/>
  <c r="BG43" i="72"/>
  <c r="BG41" i="72"/>
  <c r="BG40" i="72"/>
  <c r="BH39" i="72"/>
  <c r="BH55" i="72" l="1"/>
  <c r="BH56" i="72"/>
  <c r="BH57" i="72"/>
  <c r="BH60" i="72"/>
  <c r="BH59" i="72"/>
  <c r="BH54" i="72"/>
  <c r="BH53" i="72"/>
  <c r="BH51" i="72"/>
  <c r="BH49" i="72"/>
  <c r="BH45" i="72"/>
  <c r="BH58" i="72"/>
  <c r="BH52" i="72"/>
  <c r="BH48" i="72"/>
  <c r="BH44" i="72"/>
  <c r="BH41" i="72"/>
  <c r="BI39" i="72"/>
  <c r="BH47" i="72"/>
  <c r="BH42" i="72"/>
  <c r="BH43" i="72"/>
  <c r="BH40" i="72"/>
  <c r="BH50" i="72"/>
  <c r="BI55" i="72" l="1"/>
  <c r="BI56" i="72"/>
  <c r="BI60" i="72"/>
  <c r="BI59" i="72"/>
  <c r="BI54" i="72"/>
  <c r="BI53" i="72"/>
  <c r="BI58" i="72"/>
  <c r="BI50" i="72"/>
  <c r="BI49" i="72"/>
  <c r="BI52" i="72"/>
  <c r="BI45" i="72"/>
  <c r="BI57" i="72"/>
  <c r="BI47" i="72"/>
  <c r="BI43" i="72"/>
  <c r="BI41" i="72"/>
  <c r="BJ39" i="72"/>
  <c r="BI40" i="72"/>
  <c r="BI42" i="72"/>
  <c r="BI51" i="72"/>
  <c r="BI48" i="72"/>
  <c r="BI44" i="72"/>
  <c r="BJ55" i="72" l="1"/>
  <c r="BJ56" i="72"/>
  <c r="BJ60" i="72"/>
  <c r="BJ59" i="72"/>
  <c r="BJ52" i="72"/>
  <c r="BJ58" i="72"/>
  <c r="BJ50" i="72"/>
  <c r="BJ49" i="72"/>
  <c r="BJ48" i="72"/>
  <c r="BJ57" i="72"/>
  <c r="BJ42" i="72"/>
  <c r="BJ54" i="72"/>
  <c r="BJ45" i="72"/>
  <c r="BJ43" i="72"/>
  <c r="BJ40" i="72"/>
  <c r="BJ51" i="72"/>
  <c r="BJ41" i="72"/>
  <c r="BK39" i="72"/>
  <c r="BJ53" i="72"/>
  <c r="BJ47" i="72"/>
  <c r="BJ44" i="72"/>
  <c r="BK55" i="72" l="1"/>
  <c r="BK56" i="72"/>
  <c r="BK59" i="72"/>
  <c r="BK54" i="72"/>
  <c r="BK58" i="72"/>
  <c r="BK53" i="72"/>
  <c r="BK60" i="72"/>
  <c r="BK51" i="72"/>
  <c r="BK57" i="72"/>
  <c r="BK48" i="72"/>
  <c r="BK49" i="72"/>
  <c r="BK47" i="72"/>
  <c r="BK42" i="72"/>
  <c r="BK52" i="72"/>
  <c r="BK40" i="72"/>
  <c r="BK44" i="72"/>
  <c r="BK45" i="72"/>
  <c r="BK50" i="72"/>
  <c r="BK43" i="72"/>
  <c r="BK41" i="72"/>
  <c r="BL39" i="72"/>
  <c r="BL55" i="72" l="1"/>
  <c r="BL56" i="72"/>
  <c r="BL59" i="72"/>
  <c r="BL54" i="72"/>
  <c r="BL58" i="72"/>
  <c r="BL53" i="72"/>
  <c r="BL52" i="72"/>
  <c r="BL57" i="72"/>
  <c r="BL60" i="72"/>
  <c r="BL51" i="72"/>
  <c r="BL48" i="72"/>
  <c r="BL47" i="72"/>
  <c r="BL50" i="72"/>
  <c r="BL42" i="72"/>
  <c r="BL45" i="72"/>
  <c r="BL43" i="72"/>
  <c r="BL49" i="72"/>
  <c r="BL44" i="72"/>
  <c r="BL41" i="72"/>
  <c r="BM39" i="72"/>
  <c r="BL40" i="72"/>
  <c r="BM55" i="72" l="1"/>
  <c r="BM56" i="72"/>
  <c r="BM54" i="72"/>
  <c r="BM58" i="72"/>
  <c r="BM57" i="72"/>
  <c r="BM52" i="72"/>
  <c r="BM60" i="72"/>
  <c r="BM59" i="72"/>
  <c r="BM51" i="72"/>
  <c r="BM53" i="72"/>
  <c r="BM41" i="72"/>
  <c r="BN39" i="72"/>
  <c r="BM45" i="72"/>
  <c r="BM43" i="72"/>
  <c r="BM48" i="72"/>
  <c r="BM47" i="72"/>
  <c r="BM40" i="72"/>
  <c r="BM49" i="72"/>
  <c r="BM44" i="72"/>
  <c r="BM50" i="72"/>
  <c r="BM42" i="72"/>
  <c r="BN55" i="72" l="1"/>
  <c r="BN56" i="72"/>
  <c r="BN58" i="72"/>
  <c r="BN57" i="72"/>
  <c r="BN60" i="72"/>
  <c r="BN54" i="72"/>
  <c r="BN59" i="72"/>
  <c r="BN53" i="72"/>
  <c r="BN50" i="72"/>
  <c r="BN49" i="72"/>
  <c r="BN52" i="72"/>
  <c r="BN45" i="72"/>
  <c r="BN40" i="72"/>
  <c r="BN48" i="72"/>
  <c r="BN47" i="72"/>
  <c r="BN51" i="72"/>
  <c r="BN41" i="72"/>
  <c r="BO39" i="72"/>
  <c r="BN44" i="72"/>
  <c r="BN43" i="72"/>
  <c r="BN42" i="72"/>
  <c r="BO55" i="72" l="1"/>
  <c r="BO56" i="72"/>
  <c r="BO57" i="72"/>
  <c r="BO60" i="72"/>
  <c r="BO54" i="72"/>
  <c r="BO59" i="72"/>
  <c r="BO58" i="72"/>
  <c r="BO52" i="72"/>
  <c r="BO50" i="72"/>
  <c r="BO40" i="72"/>
  <c r="BO44" i="72"/>
  <c r="BO51" i="72"/>
  <c r="BO41" i="72"/>
  <c r="BP39" i="72"/>
  <c r="BO42" i="72"/>
  <c r="BO53" i="72"/>
  <c r="BO47" i="72"/>
  <c r="BO49" i="72"/>
  <c r="BO45" i="72"/>
  <c r="BO43" i="72"/>
  <c r="BO48" i="72"/>
  <c r="BP55" i="72" l="1"/>
  <c r="BP56" i="72"/>
  <c r="BP57" i="72"/>
  <c r="BP60" i="72"/>
  <c r="BP59" i="72"/>
  <c r="BP53" i="72"/>
  <c r="BP58" i="72"/>
  <c r="BP52" i="72"/>
  <c r="BP54" i="72"/>
  <c r="BP50" i="72"/>
  <c r="BP45" i="72"/>
  <c r="BP51" i="72"/>
  <c r="BP44" i="72"/>
  <c r="BP49" i="72"/>
  <c r="BP42" i="72"/>
  <c r="BP43" i="72"/>
  <c r="BP47" i="72"/>
  <c r="BP48" i="72"/>
  <c r="BP41" i="72"/>
  <c r="BP40" i="72"/>
  <c r="BQ39" i="72"/>
  <c r="BQ55" i="72" l="1"/>
  <c r="BQ56" i="72"/>
  <c r="BQ60" i="72"/>
  <c r="BQ59" i="72"/>
  <c r="BQ58" i="72"/>
  <c r="BQ57" i="72"/>
  <c r="BQ53" i="72"/>
  <c r="BQ54" i="72"/>
  <c r="BQ50" i="72"/>
  <c r="BQ49" i="72"/>
  <c r="BQ51" i="72"/>
  <c r="BQ52" i="72"/>
  <c r="BQ45" i="72"/>
  <c r="BQ48" i="72"/>
  <c r="BQ47" i="72"/>
  <c r="BQ43" i="72"/>
  <c r="BQ44" i="72"/>
  <c r="BQ41" i="72"/>
  <c r="BR39" i="72"/>
  <c r="BQ42" i="72"/>
  <c r="BQ40" i="72"/>
  <c r="BR55" i="72" l="1"/>
  <c r="BR56" i="72"/>
  <c r="BR60" i="72"/>
  <c r="BR59" i="72"/>
  <c r="BR58" i="72"/>
  <c r="BR52" i="72"/>
  <c r="BR57" i="72"/>
  <c r="BR50" i="72"/>
  <c r="BR49" i="72"/>
  <c r="BR54" i="72"/>
  <c r="BR53" i="72"/>
  <c r="BR41" i="72"/>
  <c r="BS39" i="72"/>
  <c r="BR43" i="72"/>
  <c r="BR48" i="72"/>
  <c r="BR47" i="72"/>
  <c r="BR40" i="72"/>
  <c r="BR51" i="72"/>
  <c r="BR45" i="72"/>
  <c r="BR44" i="72"/>
  <c r="BR42" i="72"/>
  <c r="BS55" i="72" l="1"/>
  <c r="BS56" i="72"/>
  <c r="BS59" i="72"/>
  <c r="BS54" i="72"/>
  <c r="BS58" i="72"/>
  <c r="BS57" i="72"/>
  <c r="BS53" i="72"/>
  <c r="BS51" i="72"/>
  <c r="BS48" i="72"/>
  <c r="BS47" i="72"/>
  <c r="BS49" i="72"/>
  <c r="BS42" i="72"/>
  <c r="BS60" i="72"/>
  <c r="BS52" i="72"/>
  <c r="BS43" i="72"/>
  <c r="BS50" i="72"/>
  <c r="BS40" i="72"/>
  <c r="BS45" i="72"/>
  <c r="BS44" i="72"/>
  <c r="BS41" i="72"/>
  <c r="BT39" i="72"/>
  <c r="BT55" i="72" l="1"/>
  <c r="BT56" i="72"/>
  <c r="BT59" i="72"/>
  <c r="BT54" i="72"/>
  <c r="BT58" i="72"/>
  <c r="BT57" i="72"/>
  <c r="BT53" i="72"/>
  <c r="BT52" i="72"/>
  <c r="BT50" i="72"/>
  <c r="BT47" i="72"/>
  <c r="BT51" i="72"/>
  <c r="BT48" i="72"/>
  <c r="BT60" i="72"/>
  <c r="BT49" i="72"/>
  <c r="BT42" i="72"/>
  <c r="BT40" i="72"/>
  <c r="BT45" i="72"/>
  <c r="BT44" i="72"/>
  <c r="BT43" i="72"/>
  <c r="BT41" i="72"/>
  <c r="BU39" i="72"/>
  <c r="BU55" i="72" l="1"/>
  <c r="BU56" i="72"/>
  <c r="BU54" i="72"/>
  <c r="BU58" i="72"/>
  <c r="BU57" i="72"/>
  <c r="BU52" i="72"/>
  <c r="BU51" i="72"/>
  <c r="BU48" i="72"/>
  <c r="BU49" i="72"/>
  <c r="BU59" i="72"/>
  <c r="BU53" i="72"/>
  <c r="BU41" i="72"/>
  <c r="BV39" i="72"/>
  <c r="BU60" i="72"/>
  <c r="BU42" i="72"/>
  <c r="BU43" i="72"/>
  <c r="BU50" i="72"/>
  <c r="BU45" i="72"/>
  <c r="BU47" i="72"/>
  <c r="BU44" i="72"/>
  <c r="BU40" i="72"/>
  <c r="BV55" i="72" l="1"/>
  <c r="BV56" i="72"/>
  <c r="BV58" i="72"/>
  <c r="BV57" i="72"/>
  <c r="BV60" i="72"/>
  <c r="BV54" i="72"/>
  <c r="BV51" i="72"/>
  <c r="BV53" i="72"/>
  <c r="BV49" i="72"/>
  <c r="BV45" i="72"/>
  <c r="BV40" i="72"/>
  <c r="BV59" i="72"/>
  <c r="BV43" i="72"/>
  <c r="BV47" i="72"/>
  <c r="BV44" i="72"/>
  <c r="BV48" i="72"/>
  <c r="BV41" i="72"/>
  <c r="BW39" i="72"/>
  <c r="BV42" i="72"/>
  <c r="BV50" i="72"/>
  <c r="BV52" i="72"/>
  <c r="BW55" i="72" l="1"/>
  <c r="BW56" i="72"/>
  <c r="BW57" i="72"/>
  <c r="BW60" i="72"/>
  <c r="BW54" i="72"/>
  <c r="BW52" i="72"/>
  <c r="BW50" i="72"/>
  <c r="BW51" i="72"/>
  <c r="BW49" i="72"/>
  <c r="BW59" i="72"/>
  <c r="BW58" i="72"/>
  <c r="BW40" i="72"/>
  <c r="BW48" i="72"/>
  <c r="BW41" i="72"/>
  <c r="BX39" i="72"/>
  <c r="BW53" i="72"/>
  <c r="BW44" i="72"/>
  <c r="BW43" i="72"/>
  <c r="BW47" i="72"/>
  <c r="BW45" i="72"/>
  <c r="BW42" i="72"/>
  <c r="BX55" i="72" l="1"/>
  <c r="BX56" i="72"/>
  <c r="BX57" i="72"/>
  <c r="BX60" i="72"/>
  <c r="BX59" i="72"/>
  <c r="BX53" i="72"/>
  <c r="BX58" i="72"/>
  <c r="BX45" i="72"/>
  <c r="BX54" i="72"/>
  <c r="BX44" i="72"/>
  <c r="BX40" i="72"/>
  <c r="BX51" i="72"/>
  <c r="BX50" i="72"/>
  <c r="BX47" i="72"/>
  <c r="BX41" i="72"/>
  <c r="BY39" i="72"/>
  <c r="BX42" i="72"/>
  <c r="BX52" i="72"/>
  <c r="BX43" i="72"/>
  <c r="BX49" i="72"/>
  <c r="BX48" i="72"/>
  <c r="BY55" i="72" l="1"/>
  <c r="BY56" i="72"/>
  <c r="BY60" i="72"/>
  <c r="BY59" i="72"/>
  <c r="BY54" i="72"/>
  <c r="BY53" i="72"/>
  <c r="BY49" i="72"/>
  <c r="BY58" i="72"/>
  <c r="BY45" i="72"/>
  <c r="BY57" i="72"/>
  <c r="BY50" i="72"/>
  <c r="BY47" i="72"/>
  <c r="BY43" i="72"/>
  <c r="BY52" i="72"/>
  <c r="BY51" i="72"/>
  <c r="BY48" i="72"/>
  <c r="BY44" i="72"/>
  <c r="BY42" i="72"/>
  <c r="BY41" i="72"/>
  <c r="BY40" i="72"/>
  <c r="BZ39" i="72"/>
  <c r="BZ55" i="72" l="1"/>
  <c r="BZ56" i="72"/>
  <c r="BZ60" i="72"/>
  <c r="BZ59" i="72"/>
  <c r="BZ54" i="72"/>
  <c r="BZ52" i="72"/>
  <c r="BZ58" i="72"/>
  <c r="BZ49" i="72"/>
  <c r="BZ50" i="72"/>
  <c r="BZ51" i="72"/>
  <c r="BZ57" i="72"/>
  <c r="BZ53" i="72"/>
  <c r="BZ48" i="72"/>
  <c r="BZ47" i="72"/>
  <c r="BZ44" i="72"/>
  <c r="BZ45" i="72"/>
  <c r="BZ41" i="72"/>
  <c r="CA39" i="72"/>
  <c r="BZ42" i="72"/>
  <c r="BZ43" i="72"/>
  <c r="BZ40" i="72"/>
  <c r="CA55" i="72" l="1"/>
  <c r="CA56" i="72"/>
  <c r="CA59" i="72"/>
  <c r="CA54" i="72"/>
  <c r="CA58" i="72"/>
  <c r="CA53" i="72"/>
  <c r="CA60" i="72"/>
  <c r="CA51" i="72"/>
  <c r="CA50" i="72"/>
  <c r="CA52" i="72"/>
  <c r="CA48" i="72"/>
  <c r="CA47" i="72"/>
  <c r="CA42" i="72"/>
  <c r="CA45" i="72"/>
  <c r="CA41" i="72"/>
  <c r="CB39" i="72"/>
  <c r="CA43" i="72"/>
  <c r="CA40" i="72"/>
  <c r="CA44" i="72"/>
  <c r="CA49" i="72"/>
  <c r="CA57" i="72"/>
  <c r="CB55" i="72" l="1"/>
  <c r="CB56" i="72"/>
  <c r="CB59" i="72"/>
  <c r="CB54" i="72"/>
  <c r="CB58" i="72"/>
  <c r="CB53" i="72"/>
  <c r="CB52" i="72"/>
  <c r="CB50" i="72"/>
  <c r="CB57" i="72"/>
  <c r="CB60" i="72"/>
  <c r="CB47" i="72"/>
  <c r="CB48" i="72"/>
  <c r="CB43" i="72"/>
  <c r="CB40" i="72"/>
  <c r="CB49" i="72"/>
  <c r="CB44" i="72"/>
  <c r="CB41" i="72"/>
  <c r="CB45" i="72"/>
  <c r="CB51" i="72"/>
  <c r="CB42" i="72"/>
  <c r="CC39" i="72"/>
  <c r="CC55" i="72" l="1"/>
  <c r="CC56" i="72"/>
  <c r="CC54" i="72"/>
  <c r="CC58" i="72"/>
  <c r="CC57" i="72"/>
  <c r="CC52" i="72"/>
  <c r="CC60" i="72"/>
  <c r="CC59" i="72"/>
  <c r="CC53" i="72"/>
  <c r="CC48" i="72"/>
  <c r="CC41" i="72"/>
  <c r="CD39" i="72"/>
  <c r="CC50" i="72"/>
  <c r="CC42" i="72"/>
  <c r="CC40" i="72"/>
  <c r="CC49" i="72"/>
  <c r="CC44" i="72"/>
  <c r="CC47" i="72"/>
  <c r="CC45" i="72"/>
  <c r="CC43" i="72"/>
  <c r="CC51" i="72"/>
  <c r="CD55" i="72" l="1"/>
  <c r="CD56" i="72"/>
  <c r="CD58" i="72"/>
  <c r="CD57" i="72"/>
  <c r="CD60" i="72"/>
  <c r="CD53" i="72"/>
  <c r="CD52" i="72"/>
  <c r="CD51" i="72"/>
  <c r="CD59" i="72"/>
  <c r="CD49" i="72"/>
  <c r="CD48" i="72"/>
  <c r="CD50" i="72"/>
  <c r="CD45" i="72"/>
  <c r="CD40" i="72"/>
  <c r="CD42" i="72"/>
  <c r="CD54" i="72"/>
  <c r="CD43" i="72"/>
  <c r="CD44" i="72"/>
  <c r="CD41" i="72"/>
  <c r="CE39" i="72"/>
  <c r="CD47" i="72"/>
  <c r="CE55" i="72" l="1"/>
  <c r="CE56" i="72"/>
  <c r="CE57" i="72"/>
  <c r="CE60" i="72"/>
  <c r="CE59" i="72"/>
  <c r="CE58" i="72"/>
  <c r="CE51" i="72"/>
  <c r="CE54" i="72"/>
  <c r="CE53" i="72"/>
  <c r="CE50" i="72"/>
  <c r="CE52" i="72"/>
  <c r="CE49" i="72"/>
  <c r="CE43" i="72"/>
  <c r="CE44" i="72"/>
  <c r="CE47" i="72"/>
  <c r="CE45" i="72"/>
  <c r="CE41" i="72"/>
  <c r="CF39" i="72"/>
  <c r="CE48" i="72"/>
  <c r="CE42" i="72"/>
  <c r="CE40" i="72"/>
  <c r="CF55" i="72" l="1"/>
  <c r="CF56" i="72"/>
  <c r="CF57" i="72"/>
  <c r="CF60" i="72"/>
  <c r="CF59" i="72"/>
  <c r="CF53" i="72"/>
  <c r="CF58" i="72"/>
  <c r="CF50" i="72"/>
  <c r="CF54" i="72"/>
  <c r="CF45" i="72"/>
  <c r="CF51" i="72"/>
  <c r="CF44" i="72"/>
  <c r="CF40" i="72"/>
  <c r="CF49" i="72"/>
  <c r="CF47" i="72"/>
  <c r="CF41" i="72"/>
  <c r="CG39" i="72"/>
  <c r="CF52" i="72"/>
  <c r="CF42" i="72"/>
  <c r="CF48" i="72"/>
  <c r="CF43" i="72"/>
  <c r="CG55" i="72" l="1"/>
  <c r="CG56" i="72"/>
  <c r="CG60" i="72"/>
  <c r="CG59" i="72"/>
  <c r="CG58" i="72"/>
  <c r="CG57" i="72"/>
  <c r="CG53" i="72"/>
  <c r="CG54" i="72"/>
  <c r="CG49" i="72"/>
  <c r="CG45" i="72"/>
  <c r="CG52" i="72"/>
  <c r="CG47" i="72"/>
  <c r="CG43" i="72"/>
  <c r="CG40" i="72"/>
  <c r="CG41" i="72"/>
  <c r="CH39" i="72"/>
  <c r="CG51" i="72"/>
  <c r="CG48" i="72"/>
  <c r="CG42" i="72"/>
  <c r="CG50" i="72"/>
  <c r="CG44" i="72"/>
  <c r="CH55" i="72" l="1"/>
  <c r="CH56" i="72"/>
  <c r="CH60" i="72"/>
  <c r="CH59" i="72"/>
  <c r="CH58" i="72"/>
  <c r="CH54" i="72"/>
  <c r="CH52" i="72"/>
  <c r="CH49" i="72"/>
  <c r="CH57" i="72"/>
  <c r="CH51" i="72"/>
  <c r="CH44" i="72"/>
  <c r="CH47" i="72"/>
  <c r="CH53" i="72"/>
  <c r="CH48" i="72"/>
  <c r="CH45" i="72"/>
  <c r="CH42" i="72"/>
  <c r="CH41" i="72"/>
  <c r="CH40" i="72"/>
  <c r="CI39" i="72"/>
  <c r="CH50" i="72"/>
  <c r="CH43" i="72"/>
  <c r="CI55" i="72" l="1"/>
  <c r="CI56" i="72"/>
  <c r="CI59" i="72"/>
  <c r="CI54" i="72"/>
  <c r="CI58" i="72"/>
  <c r="CI57" i="72"/>
  <c r="CI53" i="72"/>
  <c r="CI51" i="72"/>
  <c r="CI50" i="72"/>
  <c r="CI48" i="72"/>
  <c r="CI52" i="72"/>
  <c r="CI44" i="72"/>
  <c r="CI60" i="72"/>
  <c r="CI49" i="72"/>
  <c r="CI47" i="72"/>
  <c r="CI42" i="72"/>
  <c r="CI41" i="72"/>
  <c r="CJ39" i="72"/>
  <c r="CI45" i="72"/>
  <c r="CI43" i="72"/>
  <c r="CI40" i="72"/>
  <c r="CJ55" i="72" l="1"/>
  <c r="CJ56" i="72"/>
  <c r="CJ59" i="72"/>
  <c r="CJ54" i="72"/>
  <c r="CJ58" i="72"/>
  <c r="CJ57" i="72"/>
  <c r="CJ53" i="72"/>
  <c r="CJ52" i="72"/>
  <c r="CJ50" i="72"/>
  <c r="CJ51" i="72"/>
  <c r="CJ60" i="72"/>
  <c r="CJ49" i="72"/>
  <c r="CJ47" i="72"/>
  <c r="CJ48" i="72"/>
  <c r="CJ44" i="72"/>
  <c r="CJ41" i="72"/>
  <c r="CK39" i="72"/>
  <c r="CJ42" i="72"/>
  <c r="CJ43" i="72"/>
  <c r="CJ40" i="72"/>
  <c r="CJ45" i="72"/>
  <c r="CK55" i="72" l="1"/>
  <c r="CK56" i="72"/>
  <c r="CK54" i="72"/>
  <c r="CK58" i="72"/>
  <c r="CK57" i="72"/>
  <c r="CK52" i="72"/>
  <c r="CK50" i="72"/>
  <c r="CK60" i="72"/>
  <c r="CK47" i="72"/>
  <c r="CK59" i="72"/>
  <c r="CK51" i="72"/>
  <c r="CK41" i="72"/>
  <c r="CL39" i="72"/>
  <c r="CK45" i="72"/>
  <c r="CK53" i="72"/>
  <c r="CK48" i="72"/>
  <c r="CK43" i="72"/>
  <c r="CK40" i="72"/>
  <c r="CK49" i="72"/>
  <c r="CK44" i="72"/>
  <c r="CK42" i="72"/>
  <c r="CL55" i="72" l="1"/>
  <c r="CL56" i="72"/>
  <c r="CL58" i="72"/>
  <c r="CL57" i="72"/>
  <c r="CL60" i="72"/>
  <c r="CL53" i="72"/>
  <c r="CL49" i="72"/>
  <c r="CL54" i="72"/>
  <c r="CL52" i="72"/>
  <c r="CL48" i="72"/>
  <c r="CL45" i="72"/>
  <c r="CL40" i="72"/>
  <c r="CL42" i="72"/>
  <c r="CL51" i="72"/>
  <c r="CL50" i="72"/>
  <c r="CL59" i="72"/>
  <c r="CL44" i="72"/>
  <c r="CL43" i="72"/>
  <c r="CL47" i="72"/>
  <c r="CL41" i="72"/>
  <c r="CM39" i="72"/>
  <c r="CM55" i="72" l="1"/>
  <c r="CM56" i="72"/>
  <c r="CM57" i="72"/>
  <c r="CM60" i="72"/>
  <c r="CM54" i="72"/>
  <c r="CM59" i="72"/>
  <c r="CM51" i="72"/>
  <c r="CM48" i="72"/>
  <c r="CM45" i="72"/>
  <c r="CM42" i="72"/>
  <c r="CM49" i="72"/>
  <c r="CM47" i="72"/>
  <c r="CM43" i="72"/>
  <c r="CM40" i="72"/>
  <c r="CM52" i="72"/>
  <c r="CM50" i="72"/>
  <c r="CM44" i="72"/>
  <c r="CM58" i="72"/>
  <c r="CM53" i="72"/>
  <c r="CM41" i="72"/>
  <c r="CN39" i="72"/>
  <c r="CN55" i="72" l="1"/>
  <c r="CN56" i="72"/>
  <c r="CN57" i="72"/>
  <c r="CN60" i="72"/>
  <c r="CN54" i="72"/>
  <c r="CN59" i="72"/>
  <c r="CN53" i="72"/>
  <c r="CN51" i="72"/>
  <c r="CN52" i="72"/>
  <c r="CN45" i="72"/>
  <c r="CN50" i="72"/>
  <c r="CN44" i="72"/>
  <c r="CN49" i="72"/>
  <c r="CN47" i="72"/>
  <c r="CN43" i="72"/>
  <c r="CN41" i="72"/>
  <c r="CO39" i="72"/>
  <c r="CN58" i="72"/>
  <c r="CN48" i="72"/>
  <c r="CN42" i="72"/>
  <c r="CN40" i="72"/>
  <c r="CO55" i="72" l="1"/>
  <c r="CO56" i="72"/>
  <c r="CO60" i="72"/>
  <c r="CO59" i="72"/>
  <c r="CO53" i="72"/>
  <c r="CO52" i="72"/>
  <c r="CO58" i="72"/>
  <c r="CO54" i="72"/>
  <c r="CO49" i="72"/>
  <c r="CO50" i="72"/>
  <c r="CO45" i="72"/>
  <c r="CO43" i="72"/>
  <c r="CO48" i="72"/>
  <c r="CO40" i="72"/>
  <c r="CO51" i="72"/>
  <c r="CO44" i="72"/>
  <c r="CO41" i="72"/>
  <c r="CP39" i="72"/>
  <c r="CO57" i="72"/>
  <c r="CO47" i="72"/>
  <c r="CO42" i="72"/>
  <c r="CP55" i="72" l="1"/>
  <c r="CP56" i="72"/>
  <c r="CP60" i="72"/>
  <c r="CP59" i="72"/>
  <c r="CP52" i="72"/>
  <c r="CP58" i="72"/>
  <c r="CP54" i="72"/>
  <c r="CP49" i="72"/>
  <c r="CP44" i="72"/>
  <c r="CP47" i="72"/>
  <c r="CP53" i="72"/>
  <c r="CP48" i="72"/>
  <c r="CP40" i="72"/>
  <c r="CP50" i="72"/>
  <c r="CP41" i="72"/>
  <c r="CQ39" i="72"/>
  <c r="CP57" i="72"/>
  <c r="CP42" i="72"/>
  <c r="CP43" i="72"/>
  <c r="CP51" i="72"/>
  <c r="CP45" i="72"/>
  <c r="CQ55" i="72" l="1"/>
  <c r="CQ56" i="72"/>
  <c r="CQ59" i="72"/>
  <c r="CQ54" i="72"/>
  <c r="CQ58" i="72"/>
  <c r="CQ53" i="72"/>
  <c r="CQ60" i="72"/>
  <c r="CQ51" i="72"/>
  <c r="CQ57" i="72"/>
  <c r="CQ48" i="72"/>
  <c r="CQ44" i="72"/>
  <c r="CQ50" i="72"/>
  <c r="CQ42" i="72"/>
  <c r="CQ52" i="72"/>
  <c r="CQ49" i="72"/>
  <c r="CQ43" i="72"/>
  <c r="CQ47" i="72"/>
  <c r="CQ45" i="72"/>
  <c r="CQ41" i="72"/>
  <c r="CQ40" i="72"/>
  <c r="CR39" i="72"/>
  <c r="CR55" i="72" l="1"/>
  <c r="CR56" i="72"/>
  <c r="CR59" i="72"/>
  <c r="CR54" i="72"/>
  <c r="CR58" i="72"/>
  <c r="CR53" i="72"/>
  <c r="CR52" i="72"/>
  <c r="CR50" i="72"/>
  <c r="CR57" i="72"/>
  <c r="CR60" i="72"/>
  <c r="CR47" i="72"/>
  <c r="CR49" i="72"/>
  <c r="CR51" i="72"/>
  <c r="CR41" i="72"/>
  <c r="CS39" i="72"/>
  <c r="CR44" i="72"/>
  <c r="CR42" i="72"/>
  <c r="CR45" i="72"/>
  <c r="CR43" i="72"/>
  <c r="CR40" i="72"/>
  <c r="CR48" i="72"/>
  <c r="CS55" i="72" l="1"/>
  <c r="CS56" i="72"/>
  <c r="CS54" i="72"/>
  <c r="CS58" i="72"/>
  <c r="CS57" i="72"/>
  <c r="CS52" i="72"/>
  <c r="CS60" i="72"/>
  <c r="CS59" i="72"/>
  <c r="CS53" i="72"/>
  <c r="CS50" i="72"/>
  <c r="CS47" i="72"/>
  <c r="CS51" i="72"/>
  <c r="CS48" i="72"/>
  <c r="CS41" i="72"/>
  <c r="CT39" i="72"/>
  <c r="CS42" i="72"/>
  <c r="CS45" i="72"/>
  <c r="CS43" i="72"/>
  <c r="CS40" i="72"/>
  <c r="CS44" i="72"/>
  <c r="CS49" i="72"/>
  <c r="CT55" i="72" l="1"/>
  <c r="CT56" i="72"/>
  <c r="CT58" i="72"/>
  <c r="CT57" i="72"/>
  <c r="CT60" i="72"/>
  <c r="CT51" i="72"/>
  <c r="CT59" i="72"/>
  <c r="CT53" i="72"/>
  <c r="CT50" i="72"/>
  <c r="CT49" i="72"/>
  <c r="CT47" i="72"/>
  <c r="CT45" i="72"/>
  <c r="CT40" i="72"/>
  <c r="CT54" i="72"/>
  <c r="CT41" i="72"/>
  <c r="CU39" i="72"/>
  <c r="CT44" i="72"/>
  <c r="CT43" i="72"/>
  <c r="CT42" i="72"/>
  <c r="CT52" i="72"/>
  <c r="CT48" i="72"/>
  <c r="CU55" i="72" l="1"/>
  <c r="CU56" i="72"/>
  <c r="CU57" i="72"/>
  <c r="CU60" i="72"/>
  <c r="CU59" i="72"/>
  <c r="CU58" i="72"/>
  <c r="CU54" i="72"/>
  <c r="CU50" i="72"/>
  <c r="CU49" i="72"/>
  <c r="CU48" i="72"/>
  <c r="CU53" i="72"/>
  <c r="CU51" i="72"/>
  <c r="CU52" i="72"/>
  <c r="CU44" i="72"/>
  <c r="CU42" i="72"/>
  <c r="CU45" i="72"/>
  <c r="CU40" i="72"/>
  <c r="CU47" i="72"/>
  <c r="CU41" i="72"/>
  <c r="CV39" i="72"/>
  <c r="CU43" i="72"/>
  <c r="CV55" i="72" l="1"/>
  <c r="CV56" i="72"/>
  <c r="CV57" i="72"/>
  <c r="CV60" i="72"/>
  <c r="CV59" i="72"/>
  <c r="CV54" i="72"/>
  <c r="CV53" i="72"/>
  <c r="CV58" i="72"/>
  <c r="CV52" i="72"/>
  <c r="CV49" i="72"/>
  <c r="CV48" i="72"/>
  <c r="CV45" i="72"/>
  <c r="CV44" i="72"/>
  <c r="CV51" i="72"/>
  <c r="CV42" i="72"/>
  <c r="CV43" i="72"/>
  <c r="CV40" i="72"/>
  <c r="CV47" i="72"/>
  <c r="CV50" i="72"/>
  <c r="CV41" i="72"/>
  <c r="CW39" i="72"/>
  <c r="CW55" i="72" l="1"/>
  <c r="CW56" i="72"/>
  <c r="CW60" i="72"/>
  <c r="CW59" i="72"/>
  <c r="CW58" i="72"/>
  <c r="CW57" i="72"/>
  <c r="CW53" i="72"/>
  <c r="CW51" i="72"/>
  <c r="CW49" i="72"/>
  <c r="CW45" i="72"/>
  <c r="CW52" i="72"/>
  <c r="CW43" i="72"/>
  <c r="CW50" i="72"/>
  <c r="CW47" i="72"/>
  <c r="CW48" i="72"/>
  <c r="CW41" i="72"/>
  <c r="CX39" i="72"/>
  <c r="CW54" i="72"/>
  <c r="CW44" i="72"/>
  <c r="CW42" i="72"/>
  <c r="CW40" i="72"/>
  <c r="CX55" i="72" l="1"/>
  <c r="CX56" i="72"/>
  <c r="CX60" i="72"/>
  <c r="CX59" i="72"/>
  <c r="CX58" i="72"/>
  <c r="CX54" i="72"/>
  <c r="CX52" i="72"/>
  <c r="CX57" i="72"/>
  <c r="CX51" i="72"/>
  <c r="CX49" i="72"/>
  <c r="CX50" i="72"/>
  <c r="CX44" i="72"/>
  <c r="CX43" i="72"/>
  <c r="CX53" i="72"/>
  <c r="CX40" i="72"/>
  <c r="CX48" i="72"/>
  <c r="CX41" i="72"/>
  <c r="CX42" i="72"/>
  <c r="CX47" i="72"/>
  <c r="CX45" i="72"/>
  <c r="H5" i="71" l="1"/>
  <c r="K5" i="71"/>
  <c r="V5" i="71"/>
  <c r="V4" i="71"/>
  <c r="D34" i="72" s="1"/>
  <c r="K4" i="71"/>
  <c r="D23" i="72" s="1"/>
  <c r="D45" i="72" s="1"/>
  <c r="H4" i="71"/>
  <c r="D20" i="72" s="1"/>
  <c r="G39" i="64"/>
  <c r="G52" i="64" l="1"/>
  <c r="D42" i="72"/>
  <c r="G51" i="64"/>
  <c r="H39" i="64"/>
  <c r="D48" i="64"/>
  <c r="D43" i="64"/>
  <c r="G41" i="64"/>
  <c r="D52" i="64"/>
  <c r="D51" i="64"/>
  <c r="G42" i="64" l="1"/>
  <c r="I39" i="64"/>
  <c r="H41" i="64"/>
  <c r="H42" i="64"/>
  <c r="H51" i="64"/>
  <c r="H52" i="64"/>
  <c r="D47" i="64"/>
  <c r="D46" i="64"/>
  <c r="J39" i="64" l="1"/>
  <c r="I42" i="64"/>
  <c r="I41" i="64"/>
  <c r="I52" i="64"/>
  <c r="I51" i="64"/>
  <c r="K38" i="66"/>
  <c r="K39" i="64" l="1"/>
  <c r="J42" i="64"/>
  <c r="J41" i="64"/>
  <c r="J52" i="64"/>
  <c r="J51" i="64"/>
  <c r="D45" i="64"/>
  <c r="D42" i="64"/>
  <c r="D16" i="66"/>
  <c r="BK16" i="66"/>
  <c r="BJ16" i="66"/>
  <c r="BI16" i="66"/>
  <c r="BH16" i="66"/>
  <c r="BG16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AM16" i="66"/>
  <c r="AL16" i="66"/>
  <c r="AK16" i="66"/>
  <c r="AJ16" i="66"/>
  <c r="AI16" i="66"/>
  <c r="AH16" i="66"/>
  <c r="AG16" i="66"/>
  <c r="AF16" i="66"/>
  <c r="AE16" i="66"/>
  <c r="AD16" i="66"/>
  <c r="AC16" i="66"/>
  <c r="AB16" i="66"/>
  <c r="AA16" i="66"/>
  <c r="Z16" i="66"/>
  <c r="Y16" i="66"/>
  <c r="X16" i="66"/>
  <c r="W16" i="66"/>
  <c r="V16" i="66"/>
  <c r="U16" i="66"/>
  <c r="T16" i="66"/>
  <c r="S16" i="66"/>
  <c r="R16" i="66"/>
  <c r="Q16" i="66"/>
  <c r="P16" i="66"/>
  <c r="O16" i="66"/>
  <c r="N16" i="66"/>
  <c r="M16" i="66"/>
  <c r="L16" i="66"/>
  <c r="K16" i="66"/>
  <c r="J16" i="66"/>
  <c r="I16" i="66"/>
  <c r="H16" i="66"/>
  <c r="G16" i="66"/>
  <c r="F16" i="66"/>
  <c r="E16" i="66"/>
  <c r="K37" i="66"/>
  <c r="K36" i="66"/>
  <c r="K35" i="66"/>
  <c r="K34" i="66"/>
  <c r="K32" i="66"/>
  <c r="K31" i="66"/>
  <c r="L39" i="64" l="1"/>
  <c r="K41" i="64"/>
  <c r="K52" i="64"/>
  <c r="K51" i="64"/>
  <c r="K42" i="64"/>
  <c r="J27" i="66"/>
  <c r="M50" i="72" s="1"/>
  <c r="M53" i="72" s="1"/>
  <c r="D27" i="66"/>
  <c r="I27" i="66"/>
  <c r="L50" i="72" s="1"/>
  <c r="L53" i="72" s="1"/>
  <c r="O27" i="66"/>
  <c r="R50" i="72" s="1"/>
  <c r="R53" i="72" s="1"/>
  <c r="BK27" i="66"/>
  <c r="AE27" i="66"/>
  <c r="AH50" i="72" s="1"/>
  <c r="AH53" i="72" s="1"/>
  <c r="BD27" i="66"/>
  <c r="AF27" i="66"/>
  <c r="AI50" i="72" s="1"/>
  <c r="AI53" i="72" s="1"/>
  <c r="AN27" i="66"/>
  <c r="AQ50" i="72" s="1"/>
  <c r="AQ53" i="72" s="1"/>
  <c r="G27" i="66"/>
  <c r="AU27" i="66"/>
  <c r="AM27" i="66"/>
  <c r="AP50" i="72" s="1"/>
  <c r="AP53" i="72" s="1"/>
  <c r="E27" i="66"/>
  <c r="H27" i="66"/>
  <c r="AV27" i="66"/>
  <c r="BH27" i="66"/>
  <c r="X27" i="66"/>
  <c r="AA50" i="72" s="1"/>
  <c r="AA53" i="72" s="1"/>
  <c r="P27" i="66"/>
  <c r="S50" i="72" s="1"/>
  <c r="S53" i="72" s="1"/>
  <c r="W27" i="66"/>
  <c r="Z50" i="72" s="1"/>
  <c r="Z53" i="72" s="1"/>
  <c r="BC27" i="66"/>
  <c r="M27" i="66"/>
  <c r="P50" i="72" s="1"/>
  <c r="P53" i="72" s="1"/>
  <c r="U27" i="66"/>
  <c r="X50" i="72" s="1"/>
  <c r="X53" i="72" s="1"/>
  <c r="AC27" i="66"/>
  <c r="AF50" i="72" s="1"/>
  <c r="AF53" i="72" s="1"/>
  <c r="AK27" i="66"/>
  <c r="AN50" i="72" s="1"/>
  <c r="AN53" i="72" s="1"/>
  <c r="AS27" i="66"/>
  <c r="BA27" i="66"/>
  <c r="BI27" i="66"/>
  <c r="F27" i="66"/>
  <c r="N27" i="66"/>
  <c r="Q50" i="72" s="1"/>
  <c r="Q53" i="72" s="1"/>
  <c r="V27" i="66"/>
  <c r="Y50" i="72" s="1"/>
  <c r="Y53" i="72" s="1"/>
  <c r="AD27" i="66"/>
  <c r="AG50" i="72" s="1"/>
  <c r="AG53" i="72" s="1"/>
  <c r="AL27" i="66"/>
  <c r="AO50" i="72" s="1"/>
  <c r="AO53" i="72" s="1"/>
  <c r="AT27" i="66"/>
  <c r="BB27" i="66"/>
  <c r="BJ27" i="66"/>
  <c r="Q27" i="66"/>
  <c r="T50" i="72" s="1"/>
  <c r="T53" i="72" s="1"/>
  <c r="AG27" i="66"/>
  <c r="AJ50" i="72" s="1"/>
  <c r="AJ53" i="72" s="1"/>
  <c r="AO27" i="66"/>
  <c r="AR50" i="72" s="1"/>
  <c r="AR53" i="72" s="1"/>
  <c r="AW27" i="66"/>
  <c r="BE27" i="66"/>
  <c r="R27" i="66"/>
  <c r="U50" i="72" s="1"/>
  <c r="U53" i="72" s="1"/>
  <c r="Z27" i="66"/>
  <c r="AC50" i="72" s="1"/>
  <c r="AC53" i="72" s="1"/>
  <c r="AH27" i="66"/>
  <c r="AK50" i="72" s="1"/>
  <c r="AK53" i="72" s="1"/>
  <c r="AP27" i="66"/>
  <c r="AS50" i="72" s="1"/>
  <c r="AS53" i="72" s="1"/>
  <c r="AX27" i="66"/>
  <c r="BF27" i="66"/>
  <c r="S27" i="66"/>
  <c r="V50" i="72" s="1"/>
  <c r="V53" i="72" s="1"/>
  <c r="AQ27" i="66"/>
  <c r="AT50" i="72" s="1"/>
  <c r="AT53" i="72" s="1"/>
  <c r="BG27" i="66"/>
  <c r="Y27" i="66"/>
  <c r="AB50" i="72" s="1"/>
  <c r="AB53" i="72" s="1"/>
  <c r="K27" i="66"/>
  <c r="N50" i="72" s="1"/>
  <c r="N53" i="72" s="1"/>
  <c r="AA27" i="66"/>
  <c r="AD50" i="72" s="1"/>
  <c r="AD53" i="72" s="1"/>
  <c r="AI27" i="66"/>
  <c r="AL50" i="72" s="1"/>
  <c r="AL53" i="72" s="1"/>
  <c r="AY27" i="66"/>
  <c r="L27" i="66"/>
  <c r="O50" i="72" s="1"/>
  <c r="O53" i="72" s="1"/>
  <c r="T27" i="66"/>
  <c r="W50" i="72" s="1"/>
  <c r="W53" i="72" s="1"/>
  <c r="AB27" i="66"/>
  <c r="AE50" i="72" s="1"/>
  <c r="AE53" i="72" s="1"/>
  <c r="AJ27" i="66"/>
  <c r="AM50" i="72" s="1"/>
  <c r="AM53" i="72" s="1"/>
  <c r="AR27" i="66"/>
  <c r="AZ27" i="66"/>
  <c r="I50" i="72" l="1"/>
  <c r="I53" i="72" s="1"/>
  <c r="I50" i="64"/>
  <c r="I53" i="64" s="1"/>
  <c r="K50" i="72"/>
  <c r="K53" i="72" s="1"/>
  <c r="K50" i="64"/>
  <c r="K53" i="64" s="1"/>
  <c r="H50" i="72"/>
  <c r="H53" i="72" s="1"/>
  <c r="H50" i="64"/>
  <c r="H53" i="64" s="1"/>
  <c r="J50" i="72"/>
  <c r="J53" i="72" s="1"/>
  <c r="J50" i="64"/>
  <c r="J53" i="64" s="1"/>
  <c r="G50" i="72"/>
  <c r="G53" i="72" s="1"/>
  <c r="D53" i="72" s="1"/>
  <c r="G50" i="64"/>
  <c r="G53" i="64" s="1"/>
  <c r="M39" i="64"/>
  <c r="L51" i="64"/>
  <c r="L41" i="64"/>
  <c r="L52" i="64"/>
  <c r="L42" i="64"/>
  <c r="L50" i="64"/>
  <c r="L53" i="64" s="1"/>
  <c r="G40" i="64"/>
  <c r="G47" i="64" l="1"/>
  <c r="G56" i="64" s="1"/>
  <c r="H40" i="64"/>
  <c r="F46" i="64"/>
  <c r="G54" i="64"/>
  <c r="G43" i="64"/>
  <c r="G45" i="64"/>
  <c r="N39" i="64"/>
  <c r="M52" i="64"/>
  <c r="M41" i="64"/>
  <c r="M50" i="64"/>
  <c r="M51" i="64"/>
  <c r="M42" i="64"/>
  <c r="F49" i="64" l="1"/>
  <c r="F56" i="64"/>
  <c r="F57" i="64" s="1"/>
  <c r="E46" i="64"/>
  <c r="H47" i="64"/>
  <c r="H56" i="64" s="1"/>
  <c r="I40" i="64"/>
  <c r="J40" i="64" s="1"/>
  <c r="K40" i="64" s="1"/>
  <c r="L40" i="64" s="1"/>
  <c r="M40" i="64" s="1"/>
  <c r="N40" i="64" s="1"/>
  <c r="G44" i="64"/>
  <c r="M53" i="64"/>
  <c r="O39" i="64"/>
  <c r="N41" i="64"/>
  <c r="N50" i="64"/>
  <c r="N51" i="64"/>
  <c r="N52" i="64"/>
  <c r="N42" i="64"/>
  <c r="I47" i="64"/>
  <c r="I56" i="64" s="1"/>
  <c r="H43" i="64"/>
  <c r="H44" i="64" s="1"/>
  <c r="H54" i="64"/>
  <c r="H45" i="64"/>
  <c r="F58" i="64" l="1"/>
  <c r="F59" i="64" s="1"/>
  <c r="F60" i="64" s="1"/>
  <c r="N53" i="64"/>
  <c r="O40" i="64"/>
  <c r="G48" i="64"/>
  <c r="G55" i="64" s="1"/>
  <c r="G57" i="64" s="1"/>
  <c r="J47" i="64"/>
  <c r="J56" i="64" s="1"/>
  <c r="I43" i="64"/>
  <c r="I54" i="64"/>
  <c r="I45" i="64"/>
  <c r="P39" i="64"/>
  <c r="O42" i="64"/>
  <c r="O51" i="64"/>
  <c r="O41" i="64"/>
  <c r="O50" i="64"/>
  <c r="O52" i="64"/>
  <c r="H48" i="64"/>
  <c r="H49" i="64" s="1"/>
  <c r="H55" i="64" l="1"/>
  <c r="H57" i="64" s="1"/>
  <c r="H58" i="64" s="1"/>
  <c r="H59" i="64" s="1"/>
  <c r="H60" i="64" s="1"/>
  <c r="O53" i="64"/>
  <c r="I44" i="64"/>
  <c r="P40" i="64"/>
  <c r="G49" i="64"/>
  <c r="G58" i="64" s="1"/>
  <c r="K47" i="64"/>
  <c r="K56" i="64" s="1"/>
  <c r="J43" i="64"/>
  <c r="J44" i="64" s="1"/>
  <c r="J54" i="64"/>
  <c r="J45" i="64"/>
  <c r="Q39" i="64"/>
  <c r="P41" i="64"/>
  <c r="P42" i="64"/>
  <c r="P52" i="64"/>
  <c r="P50" i="64"/>
  <c r="P51" i="64"/>
  <c r="J48" i="64" l="1"/>
  <c r="J49" i="64" s="1"/>
  <c r="J55" i="64"/>
  <c r="J57" i="64" s="1"/>
  <c r="J58" i="64" s="1"/>
  <c r="J59" i="64" s="1"/>
  <c r="J60" i="64" s="1"/>
  <c r="P53" i="64"/>
  <c r="Q40" i="64"/>
  <c r="I48" i="64"/>
  <c r="I55" i="64" s="1"/>
  <c r="I57" i="64" s="1"/>
  <c r="L47" i="64"/>
  <c r="L56" i="64" s="1"/>
  <c r="K45" i="64"/>
  <c r="K43" i="64"/>
  <c r="K44" i="64" s="1"/>
  <c r="K54" i="64"/>
  <c r="R39" i="64"/>
  <c r="Q42" i="64"/>
  <c r="Q41" i="64"/>
  <c r="Q50" i="64"/>
  <c r="Q51" i="64"/>
  <c r="Q52" i="64"/>
  <c r="Q53" i="64" s="1"/>
  <c r="K48" i="64" l="1"/>
  <c r="K49" i="64" s="1"/>
  <c r="K55" i="64"/>
  <c r="R40" i="64"/>
  <c r="G59" i="64"/>
  <c r="I49" i="64"/>
  <c r="L45" i="64"/>
  <c r="L43" i="64"/>
  <c r="M47" i="64"/>
  <c r="M56" i="64" s="1"/>
  <c r="L54" i="64"/>
  <c r="S39" i="64"/>
  <c r="R42" i="64"/>
  <c r="R50" i="64"/>
  <c r="R41" i="64"/>
  <c r="R51" i="64"/>
  <c r="R52" i="64"/>
  <c r="R53" i="64" s="1"/>
  <c r="K57" i="64"/>
  <c r="K58" i="64" s="1"/>
  <c r="K59" i="64" s="1"/>
  <c r="K60" i="64" s="1"/>
  <c r="I58" i="64" l="1"/>
  <c r="L44" i="64"/>
  <c r="G60" i="64"/>
  <c r="S40" i="64"/>
  <c r="T39" i="64"/>
  <c r="S50" i="64"/>
  <c r="S42" i="64"/>
  <c r="S41" i="64"/>
  <c r="S52" i="64"/>
  <c r="S51" i="64"/>
  <c r="N47" i="64"/>
  <c r="N56" i="64" s="1"/>
  <c r="M45" i="64"/>
  <c r="M43" i="64"/>
  <c r="M44" i="64" s="1"/>
  <c r="M54" i="64"/>
  <c r="M48" i="64" l="1"/>
  <c r="M49" i="64" s="1"/>
  <c r="L48" i="64"/>
  <c r="L49" i="64" s="1"/>
  <c r="S53" i="64"/>
  <c r="T40" i="64"/>
  <c r="I59" i="64"/>
  <c r="U39" i="64"/>
  <c r="T51" i="64"/>
  <c r="T41" i="64"/>
  <c r="T42" i="64"/>
  <c r="T52" i="64"/>
  <c r="T50" i="64"/>
  <c r="O47" i="64"/>
  <c r="O56" i="64" s="1"/>
  <c r="N45" i="64"/>
  <c r="N43" i="64"/>
  <c r="N44" i="64" s="1"/>
  <c r="N54" i="64"/>
  <c r="L55" i="64" l="1"/>
  <c r="L57" i="64" s="1"/>
  <c r="L58" i="64" s="1"/>
  <c r="M55" i="64"/>
  <c r="M57" i="64" s="1"/>
  <c r="M58" i="64" s="1"/>
  <c r="M59" i="64" s="1"/>
  <c r="M60" i="64" s="1"/>
  <c r="T53" i="64"/>
  <c r="I60" i="64"/>
  <c r="U40" i="64"/>
  <c r="P47" i="64"/>
  <c r="P56" i="64" s="1"/>
  <c r="O45" i="64"/>
  <c r="O43" i="64"/>
  <c r="O44" i="64" s="1"/>
  <c r="O54" i="64"/>
  <c r="V39" i="64"/>
  <c r="U52" i="64"/>
  <c r="U42" i="64"/>
  <c r="U41" i="64"/>
  <c r="U51" i="64"/>
  <c r="U50" i="64"/>
  <c r="N48" i="64"/>
  <c r="N55" i="64" s="1"/>
  <c r="N57" i="64" s="1"/>
  <c r="U53" i="64" l="1"/>
  <c r="V40" i="64"/>
  <c r="N49" i="64"/>
  <c r="N58" i="64" s="1"/>
  <c r="N59" i="64" s="1"/>
  <c r="N60" i="64" s="1"/>
  <c r="L59" i="64"/>
  <c r="L60" i="64" s="1"/>
  <c r="O48" i="64"/>
  <c r="O49" i="64" s="1"/>
  <c r="Q47" i="64"/>
  <c r="Q56" i="64" s="1"/>
  <c r="P45" i="64"/>
  <c r="P43" i="64"/>
  <c r="P44" i="64" s="1"/>
  <c r="P54" i="64"/>
  <c r="W39" i="64"/>
  <c r="V41" i="64"/>
  <c r="V51" i="64"/>
  <c r="V52" i="64"/>
  <c r="V42" i="64"/>
  <c r="V50" i="64"/>
  <c r="P48" i="64" l="1"/>
  <c r="P49" i="64" s="1"/>
  <c r="O55" i="64"/>
  <c r="O57" i="64" s="1"/>
  <c r="O58" i="64"/>
  <c r="O59" i="64" s="1"/>
  <c r="O60" i="64" s="1"/>
  <c r="W40" i="64"/>
  <c r="R47" i="64"/>
  <c r="R56" i="64" s="1"/>
  <c r="Q45" i="64"/>
  <c r="Q43" i="64"/>
  <c r="Q44" i="64" s="1"/>
  <c r="Q54" i="64"/>
  <c r="V53" i="64"/>
  <c r="X39" i="64"/>
  <c r="W41" i="64"/>
  <c r="W50" i="64"/>
  <c r="W51" i="64"/>
  <c r="W52" i="64"/>
  <c r="W42" i="64"/>
  <c r="P55" i="64" l="1"/>
  <c r="P57" i="64" s="1"/>
  <c r="P58" i="64" s="1"/>
  <c r="P59" i="64" s="1"/>
  <c r="P60" i="64" s="1"/>
  <c r="X40" i="64"/>
  <c r="Q48" i="64"/>
  <c r="Q55" i="64" s="1"/>
  <c r="Q57" i="64" s="1"/>
  <c r="Y39" i="64"/>
  <c r="X41" i="64"/>
  <c r="X51" i="64"/>
  <c r="X50" i="64"/>
  <c r="X52" i="64"/>
  <c r="X42" i="64"/>
  <c r="R43" i="64"/>
  <c r="R44" i="64" s="1"/>
  <c r="R45" i="64"/>
  <c r="S47" i="64"/>
  <c r="S56" i="64" s="1"/>
  <c r="R54" i="64"/>
  <c r="W53" i="64"/>
  <c r="R48" i="64" l="1"/>
  <c r="R49" i="64" s="1"/>
  <c r="X53" i="64"/>
  <c r="Y40" i="64"/>
  <c r="Q49" i="64"/>
  <c r="Q58" i="64" s="1"/>
  <c r="Q59" i="64" s="1"/>
  <c r="S45" i="64"/>
  <c r="T47" i="64"/>
  <c r="T56" i="64" s="1"/>
  <c r="S43" i="64"/>
  <c r="S44" i="64" s="1"/>
  <c r="S54" i="64"/>
  <c r="Z39" i="64"/>
  <c r="Y42" i="64"/>
  <c r="Y41" i="64"/>
  <c r="Y50" i="64"/>
  <c r="Y51" i="64"/>
  <c r="Y52" i="64"/>
  <c r="Y53" i="64" s="1"/>
  <c r="S48" i="64" l="1"/>
  <c r="S49" i="64" s="1"/>
  <c r="S55" i="64"/>
  <c r="R55" i="64"/>
  <c r="R57" i="64" s="1"/>
  <c r="R58" i="64" s="1"/>
  <c r="R59" i="64" s="1"/>
  <c r="R60" i="64" s="1"/>
  <c r="Z40" i="64"/>
  <c r="Q60" i="64"/>
  <c r="AA39" i="64"/>
  <c r="Z42" i="64"/>
  <c r="Z52" i="64"/>
  <c r="Z51" i="64"/>
  <c r="Z41" i="64"/>
  <c r="Z50" i="64"/>
  <c r="S57" i="64"/>
  <c r="S58" i="64" s="1"/>
  <c r="S59" i="64" s="1"/>
  <c r="S60" i="64" s="1"/>
  <c r="U47" i="64"/>
  <c r="U56" i="64" s="1"/>
  <c r="T43" i="64"/>
  <c r="T44" i="64" s="1"/>
  <c r="T45" i="64"/>
  <c r="T54" i="64"/>
  <c r="AA40" i="64" l="1"/>
  <c r="Z53" i="64"/>
  <c r="V47" i="64"/>
  <c r="V56" i="64" s="1"/>
  <c r="U45" i="64"/>
  <c r="U43" i="64"/>
  <c r="U44" i="64" s="1"/>
  <c r="U54" i="64"/>
  <c r="T48" i="64"/>
  <c r="T49" i="64" s="1"/>
  <c r="AB39" i="64"/>
  <c r="AA50" i="64"/>
  <c r="AA42" i="64"/>
  <c r="AA41" i="64"/>
  <c r="AA51" i="64"/>
  <c r="AA52" i="64"/>
  <c r="AA53" i="64" s="1"/>
  <c r="T55" i="64" l="1"/>
  <c r="T57" i="64" s="1"/>
  <c r="AB40" i="64"/>
  <c r="T58" i="64"/>
  <c r="T59" i="64" s="1"/>
  <c r="T60" i="64" s="1"/>
  <c r="AC39" i="64"/>
  <c r="AB51" i="64"/>
  <c r="AB41" i="64"/>
  <c r="AB42" i="64"/>
  <c r="AB50" i="64"/>
  <c r="AB52" i="64"/>
  <c r="U48" i="64"/>
  <c r="U49" i="64" s="1"/>
  <c r="V43" i="64"/>
  <c r="V44" i="64" s="1"/>
  <c r="W47" i="64"/>
  <c r="W56" i="64" s="1"/>
  <c r="V45" i="64"/>
  <c r="V54" i="64"/>
  <c r="U55" i="64" l="1"/>
  <c r="U57" i="64" s="1"/>
  <c r="U58" i="64"/>
  <c r="U59" i="64" s="1"/>
  <c r="U60" i="64" s="1"/>
  <c r="AB53" i="64"/>
  <c r="AC40" i="64"/>
  <c r="X47" i="64"/>
  <c r="X56" i="64" s="1"/>
  <c r="W43" i="64"/>
  <c r="W44" i="64" s="1"/>
  <c r="W45" i="64"/>
  <c r="W54" i="64"/>
  <c r="V48" i="64"/>
  <c r="V49" i="64" s="1"/>
  <c r="AD39" i="64"/>
  <c r="AC52" i="64"/>
  <c r="AC50" i="64"/>
  <c r="AC53" i="64" s="1"/>
  <c r="AC51" i="64"/>
  <c r="AC42" i="64"/>
  <c r="AC41" i="64"/>
  <c r="V55" i="64" l="1"/>
  <c r="V57" i="64" s="1"/>
  <c r="AD40" i="64"/>
  <c r="V58" i="64"/>
  <c r="V59" i="64" s="1"/>
  <c r="V60" i="64" s="1"/>
  <c r="W48" i="64"/>
  <c r="W49" i="64" s="1"/>
  <c r="Y47" i="64"/>
  <c r="Y56" i="64" s="1"/>
  <c r="X45" i="64"/>
  <c r="X43" i="64"/>
  <c r="X44" i="64" s="1"/>
  <c r="X54" i="64"/>
  <c r="AE39" i="64"/>
  <c r="AD42" i="64"/>
  <c r="AD41" i="64"/>
  <c r="AD50" i="64"/>
  <c r="AD52" i="64"/>
  <c r="AD53" i="64" s="1"/>
  <c r="AD51" i="64"/>
  <c r="X48" i="64" l="1"/>
  <c r="X49" i="64" s="1"/>
  <c r="W55" i="64"/>
  <c r="W57" i="64" s="1"/>
  <c r="W58" i="64" s="1"/>
  <c r="W59" i="64" s="1"/>
  <c r="W60" i="64" s="1"/>
  <c r="AE40" i="64"/>
  <c r="Y45" i="64"/>
  <c r="Y43" i="64"/>
  <c r="Y44" i="64" s="1"/>
  <c r="Z47" i="64"/>
  <c r="Z56" i="64" s="1"/>
  <c r="Y54" i="64"/>
  <c r="AF39" i="64"/>
  <c r="AE41" i="64"/>
  <c r="AE52" i="64"/>
  <c r="AE51" i="64"/>
  <c r="AE42" i="64"/>
  <c r="AE50" i="64"/>
  <c r="Y48" i="64" l="1"/>
  <c r="Y49" i="64" s="1"/>
  <c r="Y55" i="64"/>
  <c r="X55" i="64"/>
  <c r="X57" i="64" s="1"/>
  <c r="X58" i="64" s="1"/>
  <c r="X59" i="64" s="1"/>
  <c r="X60" i="64" s="1"/>
  <c r="AF40" i="64"/>
  <c r="Y57" i="64"/>
  <c r="Y58" i="64" s="1"/>
  <c r="Y59" i="64" s="1"/>
  <c r="Y60" i="64" s="1"/>
  <c r="AA47" i="64"/>
  <c r="AA56" i="64" s="1"/>
  <c r="Z43" i="64"/>
  <c r="Z44" i="64" s="1"/>
  <c r="Z45" i="64"/>
  <c r="Z54" i="64"/>
  <c r="AE53" i="64"/>
  <c r="AG39" i="64"/>
  <c r="AF41" i="64"/>
  <c r="AF51" i="64"/>
  <c r="AF52" i="64"/>
  <c r="AF42" i="64"/>
  <c r="AF50" i="64"/>
  <c r="AG40" i="64" l="1"/>
  <c r="AF53" i="64"/>
  <c r="AH39" i="64"/>
  <c r="AG42" i="64"/>
  <c r="AG41" i="64"/>
  <c r="AG51" i="64"/>
  <c r="AG50" i="64"/>
  <c r="AG52" i="64"/>
  <c r="Z48" i="64"/>
  <c r="Z49" i="64" s="1"/>
  <c r="AB47" i="64"/>
  <c r="AB56" i="64" s="1"/>
  <c r="AA45" i="64"/>
  <c r="AA43" i="64"/>
  <c r="AA44" i="64" s="1"/>
  <c r="AA54" i="64"/>
  <c r="AA48" i="64" l="1"/>
  <c r="AA49" i="64" s="1"/>
  <c r="AA55" i="64"/>
  <c r="Z55" i="64"/>
  <c r="Z57" i="64" s="1"/>
  <c r="AH40" i="64"/>
  <c r="Z58" i="64"/>
  <c r="Z59" i="64" s="1"/>
  <c r="Z60" i="64" s="1"/>
  <c r="AG53" i="64"/>
  <c r="AA57" i="64"/>
  <c r="AA58" i="64" s="1"/>
  <c r="AA59" i="64" s="1"/>
  <c r="AA60" i="64" s="1"/>
  <c r="AI39" i="64"/>
  <c r="AH42" i="64"/>
  <c r="AH41" i="64"/>
  <c r="AH50" i="64"/>
  <c r="AH51" i="64"/>
  <c r="AH52" i="64"/>
  <c r="AC47" i="64"/>
  <c r="AC56" i="64" s="1"/>
  <c r="AB43" i="64"/>
  <c r="AB44" i="64" s="1"/>
  <c r="AB45" i="64"/>
  <c r="AB54" i="64"/>
  <c r="AH53" i="64" l="1"/>
  <c r="AI40" i="64"/>
  <c r="AB48" i="64"/>
  <c r="AB49" i="64" s="1"/>
  <c r="AJ39" i="64"/>
  <c r="AI50" i="64"/>
  <c r="AI41" i="64"/>
  <c r="AI42" i="64"/>
  <c r="AI51" i="64"/>
  <c r="AI52" i="64"/>
  <c r="AI53" i="64" s="1"/>
  <c r="AC45" i="64"/>
  <c r="AD47" i="64"/>
  <c r="AD56" i="64" s="1"/>
  <c r="AC43" i="64"/>
  <c r="AC44" i="64" s="1"/>
  <c r="AC54" i="64"/>
  <c r="AC48" i="64" l="1"/>
  <c r="AC49" i="64" s="1"/>
  <c r="AC55" i="64"/>
  <c r="AC57" i="64" s="1"/>
  <c r="AC58" i="64" s="1"/>
  <c r="AC59" i="64" s="1"/>
  <c r="AC60" i="64" s="1"/>
  <c r="AB55" i="64"/>
  <c r="AB57" i="64" s="1"/>
  <c r="AJ40" i="64"/>
  <c r="AB58" i="64"/>
  <c r="AB59" i="64" s="1"/>
  <c r="AB60" i="64" s="1"/>
  <c r="AK39" i="64"/>
  <c r="AJ51" i="64"/>
  <c r="AJ41" i="64"/>
  <c r="AJ42" i="64"/>
  <c r="AJ50" i="64"/>
  <c r="AJ52" i="64"/>
  <c r="AJ53" i="64" s="1"/>
  <c r="AD43" i="64"/>
  <c r="AD44" i="64" s="1"/>
  <c r="AD45" i="64"/>
  <c r="AE47" i="64"/>
  <c r="AE56" i="64" s="1"/>
  <c r="AD54" i="64"/>
  <c r="AD48" i="64" l="1"/>
  <c r="AD49" i="64" s="1"/>
  <c r="AD55" i="64"/>
  <c r="AK40" i="64"/>
  <c r="AE43" i="64"/>
  <c r="AE44" i="64" s="1"/>
  <c r="AF47" i="64"/>
  <c r="AF56" i="64" s="1"/>
  <c r="AE45" i="64"/>
  <c r="AE54" i="64"/>
  <c r="AL39" i="64"/>
  <c r="AK42" i="64"/>
  <c r="AK41" i="64"/>
  <c r="AK50" i="64"/>
  <c r="AK52" i="64"/>
  <c r="AK51" i="64"/>
  <c r="AD57" i="64"/>
  <c r="AD58" i="64" s="1"/>
  <c r="AD59" i="64" s="1"/>
  <c r="AD60" i="64" s="1"/>
  <c r="AL40" i="64" l="1"/>
  <c r="AK53" i="64"/>
  <c r="AE48" i="64"/>
  <c r="AE49" i="64" s="1"/>
  <c r="AM39" i="64"/>
  <c r="AL42" i="64"/>
  <c r="AL41" i="64"/>
  <c r="AL51" i="64"/>
  <c r="AL50" i="64"/>
  <c r="AL52" i="64"/>
  <c r="AG47" i="64"/>
  <c r="AG56" i="64" s="1"/>
  <c r="AF43" i="64"/>
  <c r="AF44" i="64" s="1"/>
  <c r="AF45" i="64"/>
  <c r="AF54" i="64"/>
  <c r="AE55" i="64" l="1"/>
  <c r="AE57" i="64" s="1"/>
  <c r="AE58" i="64"/>
  <c r="AE59" i="64" s="1"/>
  <c r="AE60" i="64" s="1"/>
  <c r="AM40" i="64"/>
  <c r="AL53" i="64"/>
  <c r="AF48" i="64"/>
  <c r="AF49" i="64" s="1"/>
  <c r="AH47" i="64"/>
  <c r="AH56" i="64" s="1"/>
  <c r="AG43" i="64"/>
  <c r="AG44" i="64" s="1"/>
  <c r="AG45" i="64"/>
  <c r="AG54" i="64"/>
  <c r="AN39" i="64"/>
  <c r="AM41" i="64"/>
  <c r="AM42" i="64"/>
  <c r="AM50" i="64"/>
  <c r="AM52" i="64"/>
  <c r="AM53" i="64" s="1"/>
  <c r="AM51" i="64"/>
  <c r="AF55" i="64" l="1"/>
  <c r="AF57" i="64" s="1"/>
  <c r="AN40" i="64"/>
  <c r="AF58" i="64"/>
  <c r="AF59" i="64" s="1"/>
  <c r="AF60" i="64" s="1"/>
  <c r="AG48" i="64"/>
  <c r="AG49" i="64" s="1"/>
  <c r="AI47" i="64"/>
  <c r="AI56" i="64" s="1"/>
  <c r="AH43" i="64"/>
  <c r="AH44" i="64" s="1"/>
  <c r="AH54" i="64"/>
  <c r="AH45" i="64"/>
  <c r="AO39" i="64"/>
  <c r="AN41" i="64"/>
  <c r="AN42" i="64"/>
  <c r="AN52" i="64"/>
  <c r="AN50" i="64"/>
  <c r="AN51" i="64"/>
  <c r="AH48" i="64" l="1"/>
  <c r="AH49" i="64" s="1"/>
  <c r="AH55" i="64"/>
  <c r="AG55" i="64"/>
  <c r="AG57" i="64" s="1"/>
  <c r="AG58" i="64"/>
  <c r="AG59" i="64" s="1"/>
  <c r="AG60" i="64" s="1"/>
  <c r="AO40" i="64"/>
  <c r="AH57" i="64"/>
  <c r="AH58" i="64" s="1"/>
  <c r="AH59" i="64" s="1"/>
  <c r="AH60" i="64" s="1"/>
  <c r="AN53" i="64"/>
  <c r="AJ47" i="64"/>
  <c r="AJ56" i="64" s="1"/>
  <c r="AI54" i="64"/>
  <c r="AI45" i="64"/>
  <c r="AI43" i="64"/>
  <c r="AI44" i="64" s="1"/>
  <c r="AP39" i="64"/>
  <c r="AO42" i="64"/>
  <c r="AO41" i="64"/>
  <c r="AO52" i="64"/>
  <c r="AO50" i="64"/>
  <c r="AO51" i="64"/>
  <c r="AI48" i="64" l="1"/>
  <c r="AI49" i="64" s="1"/>
  <c r="AI55" i="64"/>
  <c r="AP40" i="64"/>
  <c r="AO53" i="64"/>
  <c r="AK47" i="64"/>
  <c r="AK56" i="64" s="1"/>
  <c r="AJ43" i="64"/>
  <c r="AJ44" i="64" s="1"/>
  <c r="AJ45" i="64"/>
  <c r="AJ54" i="64"/>
  <c r="AQ39" i="64"/>
  <c r="AP42" i="64"/>
  <c r="AP51" i="64"/>
  <c r="AP50" i="64"/>
  <c r="AP41" i="64"/>
  <c r="AP52" i="64"/>
  <c r="AP53" i="64" s="1"/>
  <c r="AI57" i="64"/>
  <c r="AI58" i="64" s="1"/>
  <c r="AI59" i="64" s="1"/>
  <c r="AI60" i="64" s="1"/>
  <c r="AQ40" i="64" l="1"/>
  <c r="AJ48" i="64"/>
  <c r="AJ49" i="64" s="1"/>
  <c r="AR39" i="64"/>
  <c r="AQ50" i="64"/>
  <c r="AQ51" i="64"/>
  <c r="AQ41" i="64"/>
  <c r="AQ42" i="64"/>
  <c r="AQ52" i="64"/>
  <c r="AQ53" i="64" s="1"/>
  <c r="AL47" i="64"/>
  <c r="AL56" i="64" s="1"/>
  <c r="AK43" i="64"/>
  <c r="AK44" i="64" s="1"/>
  <c r="AK45" i="64"/>
  <c r="AK54" i="64"/>
  <c r="AJ55" i="64" l="1"/>
  <c r="AJ57" i="64" s="1"/>
  <c r="AJ58" i="64" s="1"/>
  <c r="AJ59" i="64" s="1"/>
  <c r="AJ60" i="64" s="1"/>
  <c r="AR40" i="64"/>
  <c r="AL43" i="64"/>
  <c r="AL44" i="64" s="1"/>
  <c r="AM47" i="64"/>
  <c r="AM56" i="64" s="1"/>
  <c r="AL45" i="64"/>
  <c r="AL54" i="64"/>
  <c r="AS39" i="64"/>
  <c r="AR51" i="64"/>
  <c r="AR41" i="64"/>
  <c r="AR50" i="64"/>
  <c r="AR42" i="64"/>
  <c r="AR52" i="64"/>
  <c r="AK48" i="64"/>
  <c r="AK49" i="64" s="1"/>
  <c r="AK55" i="64" l="1"/>
  <c r="AK57" i="64" s="1"/>
  <c r="AS40" i="64"/>
  <c r="AK58" i="64"/>
  <c r="AK59" i="64" s="1"/>
  <c r="AK60" i="64" s="1"/>
  <c r="AN47" i="64"/>
  <c r="AN56" i="64" s="1"/>
  <c r="AM45" i="64"/>
  <c r="AM43" i="64"/>
  <c r="AM44" i="64" s="1"/>
  <c r="AM54" i="64"/>
  <c r="AT39" i="64"/>
  <c r="AS52" i="64"/>
  <c r="AS50" i="64"/>
  <c r="AS53" i="64" s="1"/>
  <c r="AS51" i="64"/>
  <c r="AS42" i="64"/>
  <c r="AS41" i="64"/>
  <c r="AR53" i="64"/>
  <c r="AL48" i="64"/>
  <c r="AL49" i="64" s="1"/>
  <c r="AL55" i="64" l="1"/>
  <c r="AL57" i="64" s="1"/>
  <c r="AL58" i="64" s="1"/>
  <c r="AL59" i="64" s="1"/>
  <c r="AL60" i="64" s="1"/>
  <c r="AT40" i="64"/>
  <c r="AU39" i="64"/>
  <c r="AT50" i="64"/>
  <c r="AT51" i="64"/>
  <c r="AT52" i="64"/>
  <c r="AT41" i="64"/>
  <c r="AT42" i="64"/>
  <c r="AM48" i="64"/>
  <c r="AM49" i="64" s="1"/>
  <c r="AO47" i="64"/>
  <c r="AO56" i="64" s="1"/>
  <c r="AN43" i="64"/>
  <c r="AN44" i="64" s="1"/>
  <c r="AN45" i="64"/>
  <c r="AN54" i="64"/>
  <c r="AU56" i="64" l="1"/>
  <c r="AU55" i="64"/>
  <c r="AN48" i="64"/>
  <c r="AN49" i="64" s="1"/>
  <c r="AN55" i="64"/>
  <c r="AM55" i="64"/>
  <c r="AM57" i="64" s="1"/>
  <c r="AM58" i="64" s="1"/>
  <c r="AM59" i="64" s="1"/>
  <c r="AM60" i="64" s="1"/>
  <c r="AU40" i="64"/>
  <c r="AN57" i="64"/>
  <c r="AN58" i="64" s="1"/>
  <c r="AN59" i="64" s="1"/>
  <c r="AN60" i="64" s="1"/>
  <c r="AO43" i="64"/>
  <c r="AO44" i="64" s="1"/>
  <c r="AO45" i="64"/>
  <c r="AP47" i="64"/>
  <c r="AP56" i="64" s="1"/>
  <c r="AO54" i="64"/>
  <c r="AT53" i="64"/>
  <c r="D53" i="64" s="1"/>
  <c r="AV39" i="64"/>
  <c r="AU41" i="64"/>
  <c r="AU42" i="64"/>
  <c r="AU50" i="64"/>
  <c r="AU51" i="64"/>
  <c r="AU52" i="64"/>
  <c r="AV56" i="64" l="1"/>
  <c r="AV55" i="64"/>
  <c r="AV40" i="64"/>
  <c r="AW39" i="64"/>
  <c r="AV41" i="64"/>
  <c r="AV42" i="64"/>
  <c r="AV51" i="64"/>
  <c r="AV52" i="64"/>
  <c r="AV50" i="64"/>
  <c r="AO48" i="64"/>
  <c r="AO49" i="64" s="1"/>
  <c r="AU53" i="64"/>
  <c r="AP43" i="64"/>
  <c r="AP44" i="64" s="1"/>
  <c r="AQ47" i="64"/>
  <c r="AQ56" i="64" s="1"/>
  <c r="AP45" i="64"/>
  <c r="AP54" i="64"/>
  <c r="AW56" i="64" l="1"/>
  <c r="AW55" i="64"/>
  <c r="AO55" i="64"/>
  <c r="AO57" i="64" s="1"/>
  <c r="AW40" i="64"/>
  <c r="AO58" i="64"/>
  <c r="AO59" i="64" s="1"/>
  <c r="AO60" i="64" s="1"/>
  <c r="AX39" i="64"/>
  <c r="AW42" i="64"/>
  <c r="AW41" i="64"/>
  <c r="AW52" i="64"/>
  <c r="AW50" i="64"/>
  <c r="AW51" i="64"/>
  <c r="AP48" i="64"/>
  <c r="AP49" i="64" s="1"/>
  <c r="AV53" i="64"/>
  <c r="AR47" i="64"/>
  <c r="AR56" i="64" s="1"/>
  <c r="AQ43" i="64"/>
  <c r="AQ44" i="64" s="1"/>
  <c r="AQ45" i="64"/>
  <c r="AQ54" i="64"/>
  <c r="AX56" i="64" l="1"/>
  <c r="AX55" i="64"/>
  <c r="AQ48" i="64"/>
  <c r="AQ49" i="64" s="1"/>
  <c r="AQ55" i="64"/>
  <c r="AP55" i="64"/>
  <c r="AP57" i="64" s="1"/>
  <c r="AP58" i="64" s="1"/>
  <c r="AP59" i="64" s="1"/>
  <c r="AP60" i="64" s="1"/>
  <c r="AX40" i="64"/>
  <c r="AQ57" i="64"/>
  <c r="AQ58" i="64" s="1"/>
  <c r="AQ59" i="64" s="1"/>
  <c r="AQ60" i="64" s="1"/>
  <c r="AW53" i="64"/>
  <c r="AR45" i="64"/>
  <c r="AS47" i="64"/>
  <c r="AS56" i="64" s="1"/>
  <c r="AR43" i="64"/>
  <c r="AR54" i="64"/>
  <c r="AY39" i="64"/>
  <c r="AX42" i="64"/>
  <c r="AX41" i="64"/>
  <c r="AX52" i="64"/>
  <c r="AX50" i="64"/>
  <c r="AX51" i="64"/>
  <c r="AY56" i="64" l="1"/>
  <c r="AY55" i="64"/>
  <c r="AX53" i="64"/>
  <c r="AY40" i="64"/>
  <c r="AZ39" i="64"/>
  <c r="AY50" i="64"/>
  <c r="AY51" i="64"/>
  <c r="AY42" i="64"/>
  <c r="AY52" i="64"/>
  <c r="AY53" i="64" s="1"/>
  <c r="AY41" i="64"/>
  <c r="AT47" i="64"/>
  <c r="AT56" i="64" s="1"/>
  <c r="AS45" i="64"/>
  <c r="AS43" i="64"/>
  <c r="AS44" i="64" s="1"/>
  <c r="AS54" i="64"/>
  <c r="AR44" i="64"/>
  <c r="AZ56" i="64" l="1"/>
  <c r="AZ55" i="64"/>
  <c r="AZ40" i="64"/>
  <c r="AR48" i="64"/>
  <c r="AR55" i="64" s="1"/>
  <c r="AR57" i="64" s="1"/>
  <c r="AS48" i="64"/>
  <c r="AS49" i="64" s="1"/>
  <c r="AT45" i="64"/>
  <c r="AU47" i="64"/>
  <c r="AT43" i="64"/>
  <c r="AT54" i="64"/>
  <c r="BA39" i="64"/>
  <c r="AZ51" i="64"/>
  <c r="AZ41" i="64"/>
  <c r="AZ42" i="64"/>
  <c r="AZ52" i="64"/>
  <c r="AZ50" i="64"/>
  <c r="BA56" i="64" l="1"/>
  <c r="BA55" i="64"/>
  <c r="AS55" i="64"/>
  <c r="AS57" i="64" s="1"/>
  <c r="AS58" i="64"/>
  <c r="AS59" i="64" s="1"/>
  <c r="AS60" i="64" s="1"/>
  <c r="BA40" i="64"/>
  <c r="AV47" i="64"/>
  <c r="AU45" i="64"/>
  <c r="AU43" i="64"/>
  <c r="AU44" i="64" s="1"/>
  <c r="AU54" i="64"/>
  <c r="BB39" i="64"/>
  <c r="BA41" i="64"/>
  <c r="BA52" i="64"/>
  <c r="BA42" i="64"/>
  <c r="BA51" i="64"/>
  <c r="BA50" i="64"/>
  <c r="BA53" i="64" s="1"/>
  <c r="AT44" i="64"/>
  <c r="AR49" i="64"/>
  <c r="AZ53" i="64"/>
  <c r="BB56" i="64" l="1"/>
  <c r="BB55" i="64"/>
  <c r="BB40" i="64"/>
  <c r="BC39" i="64"/>
  <c r="BB41" i="64"/>
  <c r="BB50" i="64"/>
  <c r="BB51" i="64"/>
  <c r="BB42" i="64"/>
  <c r="BB52" i="64"/>
  <c r="BB53" i="64" s="1"/>
  <c r="AU57" i="64"/>
  <c r="AU48" i="64"/>
  <c r="AU49" i="64" s="1"/>
  <c r="AR58" i="64"/>
  <c r="AV43" i="64"/>
  <c r="AV44" i="64" s="1"/>
  <c r="AV48" i="64" s="1"/>
  <c r="AV49" i="64" s="1"/>
  <c r="AV45" i="64"/>
  <c r="AW47" i="64"/>
  <c r="AV54" i="64"/>
  <c r="AV57" i="64" s="1"/>
  <c r="AT48" i="64"/>
  <c r="AT55" i="64" s="1"/>
  <c r="AT57" i="64" s="1"/>
  <c r="BC56" i="64" l="1"/>
  <c r="BC55" i="64"/>
  <c r="AU58" i="64"/>
  <c r="AU59" i="64" s="1"/>
  <c r="AU60" i="64" s="1"/>
  <c r="BC40" i="64"/>
  <c r="AV58" i="64"/>
  <c r="AV59" i="64" s="1"/>
  <c r="AV60" i="64" s="1"/>
  <c r="AT49" i="64"/>
  <c r="AR59" i="64"/>
  <c r="AX47" i="64"/>
  <c r="AW45" i="64"/>
  <c r="AW43" i="64"/>
  <c r="AW44" i="64" s="1"/>
  <c r="AW54" i="64"/>
  <c r="BD39" i="64"/>
  <c r="BC50" i="64"/>
  <c r="BC41" i="64"/>
  <c r="BC51" i="64"/>
  <c r="BC42" i="64"/>
  <c r="BC52" i="64"/>
  <c r="BD56" i="64" l="1"/>
  <c r="BD55" i="64"/>
  <c r="BC53" i="64"/>
  <c r="BD40" i="64"/>
  <c r="AW48" i="64"/>
  <c r="AW49" i="64" s="1"/>
  <c r="AX43" i="64"/>
  <c r="AX44" i="64" s="1"/>
  <c r="AX48" i="64" s="1"/>
  <c r="AX49" i="64" s="1"/>
  <c r="AY47" i="64"/>
  <c r="AX45" i="64"/>
  <c r="AX54" i="64"/>
  <c r="BE39" i="64"/>
  <c r="BD41" i="64"/>
  <c r="BD50" i="64"/>
  <c r="BD51" i="64"/>
  <c r="BD42" i="64"/>
  <c r="BD52" i="64"/>
  <c r="BD53" i="64" s="1"/>
  <c r="AW57" i="64"/>
  <c r="AR60" i="64"/>
  <c r="AT58" i="64"/>
  <c r="BE56" i="64" l="1"/>
  <c r="BE55" i="64"/>
  <c r="BE40" i="64"/>
  <c r="BE47" i="64" s="1"/>
  <c r="AW58" i="64"/>
  <c r="AW59" i="64" s="1"/>
  <c r="AW60" i="64" s="1"/>
  <c r="AX57" i="64"/>
  <c r="AX58" i="64" s="1"/>
  <c r="AX59" i="64" s="1"/>
  <c r="AX60" i="64" s="1"/>
  <c r="AT59" i="64"/>
  <c r="AZ47" i="64"/>
  <c r="AY45" i="64"/>
  <c r="AY43" i="64"/>
  <c r="AY44" i="64" s="1"/>
  <c r="AY48" i="64" s="1"/>
  <c r="AY49" i="64" s="1"/>
  <c r="AY54" i="64"/>
  <c r="BF39" i="64"/>
  <c r="BE42" i="64"/>
  <c r="BE41" i="64"/>
  <c r="BE43" i="64"/>
  <c r="BE50" i="64"/>
  <c r="BE53" i="64" s="1"/>
  <c r="BE51" i="64"/>
  <c r="BE45" i="64"/>
  <c r="BE52" i="64"/>
  <c r="BF56" i="64" l="1"/>
  <c r="BF55" i="64"/>
  <c r="BE44" i="64"/>
  <c r="BE54" i="64"/>
  <c r="BE57" i="64" s="1"/>
  <c r="BE48" i="64"/>
  <c r="BE49" i="64" s="1"/>
  <c r="BE58" i="64" s="1"/>
  <c r="BE59" i="64" s="1"/>
  <c r="BE60" i="64" s="1"/>
  <c r="BF40" i="64"/>
  <c r="BF47" i="64"/>
  <c r="BG39" i="64"/>
  <c r="BF43" i="64"/>
  <c r="BF42" i="64"/>
  <c r="BF52" i="64"/>
  <c r="BF41" i="64"/>
  <c r="BF51" i="64"/>
  <c r="BF50" i="64"/>
  <c r="BF54" i="64"/>
  <c r="BF45" i="64"/>
  <c r="BA47" i="64"/>
  <c r="AZ45" i="64"/>
  <c r="AZ43" i="64"/>
  <c r="AZ44" i="64" s="1"/>
  <c r="AZ54" i="64"/>
  <c r="AY57" i="64"/>
  <c r="AY58" i="64" s="1"/>
  <c r="AY59" i="64" s="1"/>
  <c r="AY60" i="64" s="1"/>
  <c r="AT60" i="64"/>
  <c r="BG56" i="64" l="1"/>
  <c r="BG55" i="64"/>
  <c r="AZ57" i="64"/>
  <c r="BF53" i="64"/>
  <c r="BF44" i="64"/>
  <c r="BF48" i="64"/>
  <c r="BF49" i="64" s="1"/>
  <c r="BF58" i="64" s="1"/>
  <c r="BF59" i="64" s="1"/>
  <c r="BF60" i="64" s="1"/>
  <c r="BF57" i="64"/>
  <c r="BG40" i="64"/>
  <c r="BG47" i="64"/>
  <c r="AZ48" i="64"/>
  <c r="AZ49" i="64" s="1"/>
  <c r="AZ58" i="64" s="1"/>
  <c r="AZ59" i="64" s="1"/>
  <c r="AZ60" i="64" s="1"/>
  <c r="BA43" i="64"/>
  <c r="BA44" i="64" s="1"/>
  <c r="BA48" i="64" s="1"/>
  <c r="BA49" i="64" s="1"/>
  <c r="BB47" i="64"/>
  <c r="BA45" i="64"/>
  <c r="BA54" i="64"/>
  <c r="BH39" i="64"/>
  <c r="BG43" i="64"/>
  <c r="BG44" i="64" s="1"/>
  <c r="BG48" i="64" s="1"/>
  <c r="BG50" i="64"/>
  <c r="BG42" i="64"/>
  <c r="BG52" i="64"/>
  <c r="BG41" i="64"/>
  <c r="BG51" i="64"/>
  <c r="BG54" i="64"/>
  <c r="BH56" i="64" l="1"/>
  <c r="BH55" i="64"/>
  <c r="BG53" i="64"/>
  <c r="BG49" i="64"/>
  <c r="BG57" i="64"/>
  <c r="BG45" i="64"/>
  <c r="BG58" i="64" s="1"/>
  <c r="BG59" i="64" s="1"/>
  <c r="BG60" i="64" s="1"/>
  <c r="BH40" i="64"/>
  <c r="BH45" i="64" s="1"/>
  <c r="BA57" i="64"/>
  <c r="BA58" i="64"/>
  <c r="BA59" i="64" s="1"/>
  <c r="BA60" i="64" s="1"/>
  <c r="BB45" i="64"/>
  <c r="BC47" i="64"/>
  <c r="BB43" i="64"/>
  <c r="BB44" i="64" s="1"/>
  <c r="BB48" i="64" s="1"/>
  <c r="BB49" i="64" s="1"/>
  <c r="BB54" i="64"/>
  <c r="BI39" i="64"/>
  <c r="BH51" i="64"/>
  <c r="BH41" i="64"/>
  <c r="BH42" i="64"/>
  <c r="BH50" i="64"/>
  <c r="BH52" i="64"/>
  <c r="BH53" i="64" s="1"/>
  <c r="BI56" i="64" l="1"/>
  <c r="BI55" i="64"/>
  <c r="BB57" i="64"/>
  <c r="BH47" i="64"/>
  <c r="BH54" i="64"/>
  <c r="BH57" i="64" s="1"/>
  <c r="BH43" i="64"/>
  <c r="BH44" i="64" s="1"/>
  <c r="BH48" i="64"/>
  <c r="BH49" i="64" s="1"/>
  <c r="BH58" i="64" s="1"/>
  <c r="BH59" i="64" s="1"/>
  <c r="BH60" i="64" s="1"/>
  <c r="BI40" i="64"/>
  <c r="BI45" i="64" s="1"/>
  <c r="BJ39" i="64"/>
  <c r="BI41" i="64"/>
  <c r="BI51" i="64"/>
  <c r="BI52" i="64"/>
  <c r="BI42" i="64"/>
  <c r="BI50" i="64"/>
  <c r="BI53" i="64"/>
  <c r="BB58" i="64"/>
  <c r="BB59" i="64" s="1"/>
  <c r="BB60" i="64" s="1"/>
  <c r="BC43" i="64"/>
  <c r="BC44" i="64" s="1"/>
  <c r="BC48" i="64" s="1"/>
  <c r="BC49" i="64" s="1"/>
  <c r="BD47" i="64"/>
  <c r="BC45" i="64"/>
  <c r="BC54" i="64"/>
  <c r="BJ56" i="64" l="1"/>
  <c r="BJ55" i="64"/>
  <c r="BI54" i="64"/>
  <c r="BI43" i="64"/>
  <c r="BI44" i="64" s="1"/>
  <c r="BI48" i="64" s="1"/>
  <c r="BI47" i="64"/>
  <c r="BJ40" i="64"/>
  <c r="BC57" i="64"/>
  <c r="BC58" i="64" s="1"/>
  <c r="BC59" i="64" s="1"/>
  <c r="BC60" i="64" s="1"/>
  <c r="BD45" i="64"/>
  <c r="BD43" i="64"/>
  <c r="BD44" i="64" s="1"/>
  <c r="BD54" i="64"/>
  <c r="BK39" i="64"/>
  <c r="BJ41" i="64"/>
  <c r="BJ42" i="64"/>
  <c r="BJ52" i="64"/>
  <c r="BJ51" i="64"/>
  <c r="BJ50" i="64"/>
  <c r="BJ53" i="64"/>
  <c r="BK56" i="64" l="1"/>
  <c r="BK55" i="64"/>
  <c r="BJ45" i="64"/>
  <c r="BJ47" i="64"/>
  <c r="BI49" i="64"/>
  <c r="BJ54" i="64"/>
  <c r="BI57" i="64"/>
  <c r="BI58" i="64" s="1"/>
  <c r="BI59" i="64" s="1"/>
  <c r="BI60" i="64" s="1"/>
  <c r="BJ43" i="64"/>
  <c r="BJ44" i="64"/>
  <c r="BJ48" i="64" s="1"/>
  <c r="BJ49" i="64" s="1"/>
  <c r="BD57" i="64"/>
  <c r="BK40" i="64"/>
  <c r="BK47" i="64"/>
  <c r="BL39" i="64"/>
  <c r="BK41" i="64"/>
  <c r="BK52" i="64"/>
  <c r="BK50" i="64"/>
  <c r="BK42" i="64"/>
  <c r="BK51" i="64"/>
  <c r="BD48" i="64"/>
  <c r="BD49" i="64" s="1"/>
  <c r="BL56" i="64" l="1"/>
  <c r="BL55" i="64"/>
  <c r="BJ57" i="64"/>
  <c r="BJ58" i="64" s="1"/>
  <c r="BJ59" i="64" s="1"/>
  <c r="BJ60" i="64" s="1"/>
  <c r="BK54" i="64"/>
  <c r="BK53" i="64"/>
  <c r="BK57" i="64"/>
  <c r="BD58" i="64"/>
  <c r="BD59" i="64" s="1"/>
  <c r="BD60" i="64" s="1"/>
  <c r="BK43" i="64"/>
  <c r="BK44" i="64" s="1"/>
  <c r="BK45" i="64"/>
  <c r="BL40" i="64"/>
  <c r="BL45" i="64" s="1"/>
  <c r="BM39" i="64"/>
  <c r="BL41" i="64"/>
  <c r="BL50" i="64"/>
  <c r="BL51" i="64"/>
  <c r="BL52" i="64"/>
  <c r="BL42" i="64"/>
  <c r="BM56" i="64" l="1"/>
  <c r="BM55" i="64"/>
  <c r="BL54" i="64"/>
  <c r="BL53" i="64"/>
  <c r="BL47" i="64"/>
  <c r="BK48" i="64"/>
  <c r="BK49" i="64" s="1"/>
  <c r="BK58" i="64" s="1"/>
  <c r="BK59" i="64" s="1"/>
  <c r="BK60" i="64" s="1"/>
  <c r="BL43" i="64"/>
  <c r="BL44" i="64" s="1"/>
  <c r="BL57" i="64"/>
  <c r="BM40" i="64"/>
  <c r="BM47" i="64" s="1"/>
  <c r="BN39" i="64"/>
  <c r="BM42" i="64"/>
  <c r="BM41" i="64"/>
  <c r="BM50" i="64"/>
  <c r="BM51" i="64"/>
  <c r="BM52" i="64"/>
  <c r="BM53" i="64" s="1"/>
  <c r="BN56" i="64" l="1"/>
  <c r="BN55" i="64"/>
  <c r="BM54" i="64"/>
  <c r="BM57" i="64"/>
  <c r="BM43" i="64"/>
  <c r="BM44" i="64" s="1"/>
  <c r="BM45" i="64"/>
  <c r="BL48" i="64"/>
  <c r="BL49" i="64" s="1"/>
  <c r="BL58" i="64" s="1"/>
  <c r="BL59" i="64" s="1"/>
  <c r="BL60" i="64" s="1"/>
  <c r="BN40" i="64"/>
  <c r="BO39" i="64"/>
  <c r="BN42" i="64"/>
  <c r="BN41" i="64"/>
  <c r="BN50" i="64"/>
  <c r="BN51" i="64"/>
  <c r="BN52" i="64"/>
  <c r="BO56" i="64" l="1"/>
  <c r="BO55" i="64"/>
  <c r="BN47" i="64"/>
  <c r="BN54" i="64"/>
  <c r="BN45" i="64"/>
  <c r="BN57" i="64"/>
  <c r="BN53" i="64"/>
  <c r="BN43" i="64"/>
  <c r="BN44" i="64" s="1"/>
  <c r="BN48" i="64" s="1"/>
  <c r="BN49" i="64" s="1"/>
  <c r="BM48" i="64"/>
  <c r="BM49" i="64" s="1"/>
  <c r="BM58" i="64" s="1"/>
  <c r="BM59" i="64" s="1"/>
  <c r="BM60" i="64" s="1"/>
  <c r="BO40" i="64"/>
  <c r="BO47" i="64" s="1"/>
  <c r="BP39" i="64"/>
  <c r="BO50" i="64"/>
  <c r="BO52" i="64"/>
  <c r="BO51" i="64"/>
  <c r="BO41" i="64"/>
  <c r="BO53" i="64"/>
  <c r="BO42" i="64"/>
  <c r="BP56" i="64" l="1"/>
  <c r="BP55" i="64"/>
  <c r="BN58" i="64"/>
  <c r="BN59" i="64" s="1"/>
  <c r="BN60" i="64" s="1"/>
  <c r="BO54" i="64"/>
  <c r="BO43" i="64"/>
  <c r="BO44" i="64" s="1"/>
  <c r="BO45" i="64"/>
  <c r="BP40" i="64"/>
  <c r="BQ39" i="64"/>
  <c r="BP51" i="64"/>
  <c r="BP41" i="64"/>
  <c r="BP42" i="64"/>
  <c r="BP52" i="64"/>
  <c r="BP50" i="64"/>
  <c r="BQ56" i="64" l="1"/>
  <c r="BQ55" i="64"/>
  <c r="BP45" i="64"/>
  <c r="BP47" i="64"/>
  <c r="BP43" i="64"/>
  <c r="BP53" i="64"/>
  <c r="BP44" i="64"/>
  <c r="BP48" i="64"/>
  <c r="BP49" i="64" s="1"/>
  <c r="BO48" i="64"/>
  <c r="BO49" i="64" s="1"/>
  <c r="BP54" i="64"/>
  <c r="BO57" i="64"/>
  <c r="BQ40" i="64"/>
  <c r="BQ45" i="64" s="1"/>
  <c r="BR39" i="64"/>
  <c r="BQ42" i="64"/>
  <c r="BQ52" i="64"/>
  <c r="BQ51" i="64"/>
  <c r="BQ50" i="64"/>
  <c r="BQ54" i="64" s="1"/>
  <c r="BQ41" i="64"/>
  <c r="BR56" i="64" l="1"/>
  <c r="BR55" i="64"/>
  <c r="BP57" i="64"/>
  <c r="BP58" i="64" s="1"/>
  <c r="BP59" i="64" s="1"/>
  <c r="BP60" i="64" s="1"/>
  <c r="BO58" i="64"/>
  <c r="BO59" i="64" s="1"/>
  <c r="BO60" i="64" s="1"/>
  <c r="BQ53" i="64"/>
  <c r="BQ43" i="64"/>
  <c r="BQ44" i="64"/>
  <c r="BQ48" i="64" s="1"/>
  <c r="BQ47" i="64"/>
  <c r="BR40" i="64"/>
  <c r="BR45" i="64" s="1"/>
  <c r="BS39" i="64"/>
  <c r="BR42" i="64"/>
  <c r="BR51" i="64"/>
  <c r="BR50" i="64"/>
  <c r="BR41" i="64"/>
  <c r="BR52" i="64"/>
  <c r="BR53" i="64" s="1"/>
  <c r="BS56" i="64" l="1"/>
  <c r="BS55" i="64"/>
  <c r="BR47" i="64"/>
  <c r="BQ49" i="64"/>
  <c r="BQ57" i="64"/>
  <c r="BR54" i="64"/>
  <c r="BR43" i="64"/>
  <c r="BR44" i="64" s="1"/>
  <c r="BS40" i="64"/>
  <c r="BS45" i="64" s="1"/>
  <c r="BS47" i="64"/>
  <c r="BT39" i="64"/>
  <c r="BS41" i="64"/>
  <c r="BS42" i="64"/>
  <c r="BS51" i="64"/>
  <c r="BS50" i="64"/>
  <c r="BS54" i="64" s="1"/>
  <c r="BS52" i="64"/>
  <c r="BS53" i="64" s="1"/>
  <c r="BT56" i="64" l="1"/>
  <c r="BT55" i="64"/>
  <c r="BS43" i="64"/>
  <c r="BS44" i="64"/>
  <c r="BS48" i="64" s="1"/>
  <c r="BS49" i="64" s="1"/>
  <c r="BR57" i="64"/>
  <c r="BS57" i="64"/>
  <c r="BQ58" i="64"/>
  <c r="BQ59" i="64" s="1"/>
  <c r="BQ60" i="64" s="1"/>
  <c r="BS58" i="64"/>
  <c r="BS59" i="64" s="1"/>
  <c r="BS60" i="64" s="1"/>
  <c r="BR48" i="64"/>
  <c r="BR49" i="64" s="1"/>
  <c r="BR58" i="64" s="1"/>
  <c r="BR59" i="64" s="1"/>
  <c r="BR60" i="64" s="1"/>
  <c r="BT40" i="64"/>
  <c r="BU39" i="64"/>
  <c r="BT41" i="64"/>
  <c r="BT42" i="64"/>
  <c r="BT52" i="64"/>
  <c r="BT51" i="64"/>
  <c r="BT50" i="64"/>
  <c r="BU56" i="64" l="1"/>
  <c r="BU55" i="64"/>
  <c r="BT54" i="64"/>
  <c r="BT53" i="64"/>
  <c r="BT45" i="64"/>
  <c r="BT47" i="64"/>
  <c r="BT57" i="64"/>
  <c r="BT43" i="64"/>
  <c r="BT44" i="64" s="1"/>
  <c r="BU40" i="64"/>
  <c r="BU43" i="64" s="1"/>
  <c r="BU47" i="64"/>
  <c r="BV39" i="64"/>
  <c r="BU42" i="64"/>
  <c r="BU41" i="64"/>
  <c r="BU50" i="64"/>
  <c r="BU51" i="64"/>
  <c r="BU52" i="64"/>
  <c r="BV56" i="64" l="1"/>
  <c r="BV55" i="64"/>
  <c r="BU45" i="64"/>
  <c r="BU53" i="64"/>
  <c r="BU54" i="64"/>
  <c r="BU57" i="64" s="1"/>
  <c r="BU44" i="64"/>
  <c r="BU48" i="64" s="1"/>
  <c r="BU49" i="64" s="1"/>
  <c r="BU58" i="64" s="1"/>
  <c r="BU59" i="64" s="1"/>
  <c r="BU60" i="64" s="1"/>
  <c r="BT48" i="64"/>
  <c r="BT49" i="64" s="1"/>
  <c r="BT58" i="64" s="1"/>
  <c r="BT59" i="64" s="1"/>
  <c r="BT60" i="64" s="1"/>
  <c r="BV40" i="64"/>
  <c r="BW39" i="64"/>
  <c r="BV42" i="64"/>
  <c r="BV41" i="64"/>
  <c r="BV51" i="64"/>
  <c r="BV52" i="64"/>
  <c r="BV50" i="64"/>
  <c r="BV53" i="64" s="1"/>
  <c r="BW56" i="64" l="1"/>
  <c r="BW55" i="64"/>
  <c r="BV54" i="64"/>
  <c r="BV43" i="64"/>
  <c r="BV44" i="64" s="1"/>
  <c r="BV47" i="64"/>
  <c r="BV45" i="64"/>
  <c r="BV48" i="64"/>
  <c r="BV49" i="64"/>
  <c r="BW40" i="64"/>
  <c r="BX39" i="64"/>
  <c r="BW50" i="64"/>
  <c r="BW41" i="64"/>
  <c r="BW51" i="64"/>
  <c r="BW42" i="64"/>
  <c r="BW52" i="64"/>
  <c r="BX56" i="64" l="1"/>
  <c r="BX55" i="64"/>
  <c r="BW45" i="64"/>
  <c r="BW54" i="64"/>
  <c r="BW43" i="64"/>
  <c r="BW44" i="64" s="1"/>
  <c r="BW48" i="64" s="1"/>
  <c r="BW49" i="64" s="1"/>
  <c r="BW47" i="64"/>
  <c r="BV57" i="64"/>
  <c r="BV58" i="64" s="1"/>
  <c r="BV59" i="64" s="1"/>
  <c r="BV60" i="64" s="1"/>
  <c r="BW53" i="64"/>
  <c r="BX40" i="64"/>
  <c r="BX47" i="64" s="1"/>
  <c r="BY39" i="64"/>
  <c r="BX51" i="64"/>
  <c r="BX41" i="64"/>
  <c r="BX50" i="64"/>
  <c r="BX52" i="64"/>
  <c r="BX53" i="64" s="1"/>
  <c r="BX42" i="64"/>
  <c r="BY56" i="64" l="1"/>
  <c r="BY55" i="64"/>
  <c r="BW57" i="64"/>
  <c r="BW58" i="64" s="1"/>
  <c r="BW59" i="64" s="1"/>
  <c r="BW60" i="64" s="1"/>
  <c r="BX54" i="64"/>
  <c r="BX45" i="64"/>
  <c r="BX43" i="64"/>
  <c r="BX44" i="64" s="1"/>
  <c r="BX57" i="64"/>
  <c r="BY40" i="64"/>
  <c r="BZ39" i="64"/>
  <c r="BY52" i="64"/>
  <c r="BY41" i="64"/>
  <c r="BY50" i="64"/>
  <c r="BY51" i="64"/>
  <c r="BY42" i="64"/>
  <c r="BY53" i="64"/>
  <c r="BZ56" i="64" l="1"/>
  <c r="BZ55" i="64"/>
  <c r="BY54" i="64"/>
  <c r="BY43" i="64"/>
  <c r="BY44" i="64" s="1"/>
  <c r="BY45" i="64"/>
  <c r="BY47" i="64"/>
  <c r="BY48" i="64"/>
  <c r="BY49" i="64" s="1"/>
  <c r="BY57" i="64"/>
  <c r="BX48" i="64"/>
  <c r="BX49" i="64" s="1"/>
  <c r="BX58" i="64" s="1"/>
  <c r="BX59" i="64" s="1"/>
  <c r="BX60" i="64" s="1"/>
  <c r="BZ40" i="64"/>
  <c r="CA39" i="64"/>
  <c r="BZ41" i="64"/>
  <c r="BZ52" i="64"/>
  <c r="BZ50" i="64"/>
  <c r="BZ42" i="64"/>
  <c r="BZ51" i="64"/>
  <c r="CA56" i="64" l="1"/>
  <c r="CA55" i="64"/>
  <c r="BZ43" i="64"/>
  <c r="BZ44" i="64" s="1"/>
  <c r="BZ48" i="64" s="1"/>
  <c r="BZ45" i="64"/>
  <c r="BZ53" i="64"/>
  <c r="BY58" i="64"/>
  <c r="BY59" i="64" s="1"/>
  <c r="BY60" i="64" s="1"/>
  <c r="BZ47" i="64"/>
  <c r="BZ54" i="64"/>
  <c r="BZ57" i="64"/>
  <c r="CA40" i="64"/>
  <c r="CA43" i="64" s="1"/>
  <c r="CA47" i="64"/>
  <c r="CB39" i="64"/>
  <c r="CA42" i="64"/>
  <c r="CA44" i="64" s="1"/>
  <c r="CA51" i="64"/>
  <c r="CA41" i="64"/>
  <c r="CA50" i="64"/>
  <c r="CA54" i="64" s="1"/>
  <c r="CA52" i="64"/>
  <c r="CA53" i="64" s="1"/>
  <c r="CA45" i="64"/>
  <c r="CB56" i="64" l="1"/>
  <c r="CB55" i="64"/>
  <c r="BZ49" i="64"/>
  <c r="BZ58" i="64" s="1"/>
  <c r="BZ59" i="64" s="1"/>
  <c r="BZ60" i="64" s="1"/>
  <c r="CA48" i="64"/>
  <c r="CA49" i="64" s="1"/>
  <c r="CA57" i="64"/>
  <c r="CB40" i="64"/>
  <c r="CB45" i="64" s="1"/>
  <c r="CC39" i="64"/>
  <c r="CB41" i="64"/>
  <c r="CB42" i="64"/>
  <c r="CB50" i="64"/>
  <c r="CB53" i="64" s="1"/>
  <c r="CB51" i="64"/>
  <c r="CB52" i="64"/>
  <c r="CC56" i="64" l="1"/>
  <c r="CC55" i="64"/>
  <c r="CB43" i="64"/>
  <c r="CA58" i="64"/>
  <c r="CA59" i="64" s="1"/>
  <c r="CA60" i="64" s="1"/>
  <c r="CB54" i="64"/>
  <c r="CB57" i="64" s="1"/>
  <c r="CB47" i="64"/>
  <c r="CB44" i="64"/>
  <c r="CB48" i="64" s="1"/>
  <c r="CB49" i="64" s="1"/>
  <c r="CB58" i="64" s="1"/>
  <c r="CB59" i="64" s="1"/>
  <c r="CB60" i="64" s="1"/>
  <c r="CC40" i="64"/>
  <c r="CC47" i="64" s="1"/>
  <c r="CD39" i="64"/>
  <c r="CC42" i="64"/>
  <c r="CC41" i="64"/>
  <c r="CC45" i="64"/>
  <c r="CC43" i="64"/>
  <c r="CC52" i="64"/>
  <c r="CC50" i="64"/>
  <c r="CC51" i="64"/>
  <c r="CD56" i="64" l="1"/>
  <c r="CD55" i="64"/>
  <c r="CC54" i="64"/>
  <c r="CC57" i="64" s="1"/>
  <c r="CC44" i="64"/>
  <c r="CC48" i="64"/>
  <c r="CC49" i="64" s="1"/>
  <c r="CC58" i="64" s="1"/>
  <c r="CC59" i="64" s="1"/>
  <c r="CC60" i="64" s="1"/>
  <c r="CC53" i="64"/>
  <c r="CD40" i="64"/>
  <c r="CD47" i="64"/>
  <c r="CE39" i="64"/>
  <c r="CD43" i="64"/>
  <c r="CD44" i="64" s="1"/>
  <c r="CD48" i="64" s="1"/>
  <c r="CD42" i="64"/>
  <c r="CD50" i="64"/>
  <c r="CD52" i="64"/>
  <c r="CD53" i="64" s="1"/>
  <c r="CD41" i="64"/>
  <c r="CD51" i="64"/>
  <c r="CD54" i="64"/>
  <c r="CE56" i="64" l="1"/>
  <c r="CE55" i="64"/>
  <c r="CD57" i="64"/>
  <c r="CD49" i="64"/>
  <c r="CD45" i="64"/>
  <c r="CD58" i="64" s="1"/>
  <c r="CD59" i="64" s="1"/>
  <c r="CD60" i="64" s="1"/>
  <c r="CE40" i="64"/>
  <c r="CE45" i="64" s="1"/>
  <c r="CE47" i="64"/>
  <c r="CF39" i="64"/>
  <c r="CE43" i="64"/>
  <c r="CE50" i="64"/>
  <c r="CE54" i="64" s="1"/>
  <c r="CE57" i="64" s="1"/>
  <c r="CE41" i="64"/>
  <c r="CE52" i="64"/>
  <c r="CE53" i="64" s="1"/>
  <c r="CE42" i="64"/>
  <c r="CE44" i="64" s="1"/>
  <c r="CE51" i="64"/>
  <c r="CF56" i="64" l="1"/>
  <c r="CF55" i="64"/>
  <c r="CE48" i="64"/>
  <c r="CE49" i="64" s="1"/>
  <c r="CE58" i="64" s="1"/>
  <c r="CE59" i="64" s="1"/>
  <c r="CE60" i="64" s="1"/>
  <c r="CF40" i="64"/>
  <c r="CF47" i="64"/>
  <c r="CG39" i="64"/>
  <c r="CF51" i="64"/>
  <c r="CF41" i="64"/>
  <c r="CF42" i="64"/>
  <c r="CF44" i="64" s="1"/>
  <c r="CF45" i="64"/>
  <c r="CF43" i="64"/>
  <c r="CF50" i="64"/>
  <c r="CF52" i="64"/>
  <c r="CF53" i="64" s="1"/>
  <c r="CG56" i="64" l="1"/>
  <c r="CG55" i="64"/>
  <c r="CF54" i="64"/>
  <c r="CF48" i="64"/>
  <c r="CF49" i="64" s="1"/>
  <c r="CF57" i="64"/>
  <c r="CG40" i="64"/>
  <c r="CG47" i="64"/>
  <c r="CH39" i="64"/>
  <c r="CG52" i="64"/>
  <c r="CG53" i="64" s="1"/>
  <c r="CG51" i="64"/>
  <c r="CG42" i="64"/>
  <c r="CG50" i="64"/>
  <c r="CG41" i="64"/>
  <c r="CG43" i="64"/>
  <c r="CH56" i="64" l="1"/>
  <c r="CH55" i="64"/>
  <c r="CG44" i="64"/>
  <c r="CG54" i="64"/>
  <c r="CG57" i="64" s="1"/>
  <c r="CF58" i="64"/>
  <c r="CF59" i="64" s="1"/>
  <c r="CF60" i="64" s="1"/>
  <c r="CG45" i="64"/>
  <c r="CG48" i="64"/>
  <c r="CG49" i="64" s="1"/>
  <c r="CG58" i="64"/>
  <c r="CG59" i="64" s="1"/>
  <c r="CG60" i="64" s="1"/>
  <c r="CH40" i="64"/>
  <c r="CI39" i="64"/>
  <c r="CH41" i="64"/>
  <c r="CH42" i="64"/>
  <c r="CH50" i="64"/>
  <c r="CH52" i="64"/>
  <c r="CH53" i="64" s="1"/>
  <c r="CH51" i="64"/>
  <c r="CH54" i="64" s="1"/>
  <c r="CI56" i="64" l="1"/>
  <c r="CI55" i="64"/>
  <c r="CH43" i="64"/>
  <c r="CH44" i="64" s="1"/>
  <c r="CH48" i="64" s="1"/>
  <c r="CH45" i="64"/>
  <c r="CH57" i="64"/>
  <c r="CH47" i="64"/>
  <c r="CI40" i="64"/>
  <c r="CI47" i="64"/>
  <c r="CJ39" i="64"/>
  <c r="CI41" i="64"/>
  <c r="CI42" i="64"/>
  <c r="CI50" i="64"/>
  <c r="CI52" i="64"/>
  <c r="CI51" i="64"/>
  <c r="CI54" i="64" s="1"/>
  <c r="CI43" i="64"/>
  <c r="CI44" i="64" s="1"/>
  <c r="CJ56" i="64" l="1"/>
  <c r="CJ55" i="64"/>
  <c r="CH49" i="64"/>
  <c r="CH58" i="64" s="1"/>
  <c r="CH59" i="64" s="1"/>
  <c r="CH60" i="64" s="1"/>
  <c r="CI57" i="64"/>
  <c r="CI53" i="64"/>
  <c r="CI48" i="64"/>
  <c r="CI49" i="64"/>
  <c r="CI45" i="64"/>
  <c r="CJ40" i="64"/>
  <c r="CK39" i="64"/>
  <c r="CJ41" i="64"/>
  <c r="CJ51" i="64"/>
  <c r="CJ42" i="64"/>
  <c r="CJ50" i="64"/>
  <c r="CJ52" i="64"/>
  <c r="CJ53" i="64" s="1"/>
  <c r="CJ45" i="64"/>
  <c r="CK56" i="64" l="1"/>
  <c r="CK55" i="64"/>
  <c r="CI58" i="64"/>
  <c r="CI59" i="64" s="1"/>
  <c r="CI60" i="64" s="1"/>
  <c r="CJ54" i="64"/>
  <c r="CJ57" i="64"/>
  <c r="CJ47" i="64"/>
  <c r="CJ43" i="64"/>
  <c r="CJ44" i="64" s="1"/>
  <c r="CK40" i="64"/>
  <c r="CL39" i="64"/>
  <c r="CK42" i="64"/>
  <c r="CK41" i="64"/>
  <c r="CK51" i="64"/>
  <c r="CK50" i="64"/>
  <c r="CK54" i="64" s="1"/>
  <c r="CK52" i="64"/>
  <c r="CL56" i="64" l="1"/>
  <c r="CL55" i="64"/>
  <c r="CK53" i="64"/>
  <c r="CK45" i="64"/>
  <c r="CK43" i="64"/>
  <c r="CK57" i="64"/>
  <c r="CK47" i="64"/>
  <c r="CK44" i="64"/>
  <c r="CK48" i="64" s="1"/>
  <c r="CJ48" i="64"/>
  <c r="CJ49" i="64" s="1"/>
  <c r="CJ58" i="64" s="1"/>
  <c r="CJ59" i="64" s="1"/>
  <c r="CJ60" i="64" s="1"/>
  <c r="CL40" i="64"/>
  <c r="CL45" i="64" s="1"/>
  <c r="CL47" i="64"/>
  <c r="CM39" i="64"/>
  <c r="CL42" i="64"/>
  <c r="CL50" i="64"/>
  <c r="CL54" i="64" s="1"/>
  <c r="CL51" i="64"/>
  <c r="CL52" i="64"/>
  <c r="CL41" i="64"/>
  <c r="CM56" i="64" l="1"/>
  <c r="CM55" i="64"/>
  <c r="CK49" i="64"/>
  <c r="CK58" i="64" s="1"/>
  <c r="CK59" i="64" s="1"/>
  <c r="CK60" i="64" s="1"/>
  <c r="CL53" i="64"/>
  <c r="CL43" i="64"/>
  <c r="CL44" i="64" s="1"/>
  <c r="CL57" i="64"/>
  <c r="CM40" i="64"/>
  <c r="CM43" i="64" s="1"/>
  <c r="CN39" i="64"/>
  <c r="CM50" i="64"/>
  <c r="CM42" i="64"/>
  <c r="CM41" i="64"/>
  <c r="CM52" i="64"/>
  <c r="CM51" i="64"/>
  <c r="CN56" i="64" l="1"/>
  <c r="CN55" i="64"/>
  <c r="CM47" i="64"/>
  <c r="CM53" i="64"/>
  <c r="CM44" i="64"/>
  <c r="CM54" i="64"/>
  <c r="CM48" i="64"/>
  <c r="CM49" i="64" s="1"/>
  <c r="CM57" i="64"/>
  <c r="CM58" i="64" s="1"/>
  <c r="CM59" i="64" s="1"/>
  <c r="CM60" i="64" s="1"/>
  <c r="CM45" i="64"/>
  <c r="CL48" i="64"/>
  <c r="CL49" i="64" s="1"/>
  <c r="CL58" i="64" s="1"/>
  <c r="CL59" i="64" s="1"/>
  <c r="CL60" i="64" s="1"/>
  <c r="CN40" i="64"/>
  <c r="CN47" i="64" s="1"/>
  <c r="CO39" i="64"/>
  <c r="CN51" i="64"/>
  <c r="CN41" i="64"/>
  <c r="CN42" i="64"/>
  <c r="CN50" i="64"/>
  <c r="CN43" i="64"/>
  <c r="CN52" i="64"/>
  <c r="CN53" i="64" s="1"/>
  <c r="CO56" i="64" l="1"/>
  <c r="CO55" i="64"/>
  <c r="CN54" i="64"/>
  <c r="CN57" i="64" s="1"/>
  <c r="CN44" i="64"/>
  <c r="CN48" i="64"/>
  <c r="CN49" i="64" s="1"/>
  <c r="CN45" i="64"/>
  <c r="CO40" i="64"/>
  <c r="CO47" i="64"/>
  <c r="CP39" i="64"/>
  <c r="CO52" i="64"/>
  <c r="CO42" i="64"/>
  <c r="CO50" i="64"/>
  <c r="CO41" i="64"/>
  <c r="CO51" i="64"/>
  <c r="CP56" i="64" l="1"/>
  <c r="CP55" i="64"/>
  <c r="CN58" i="64"/>
  <c r="CN59" i="64" s="1"/>
  <c r="CN60" i="64" s="1"/>
  <c r="CO45" i="64"/>
  <c r="CO43" i="64"/>
  <c r="CO44" i="64" s="1"/>
  <c r="CO54" i="64"/>
  <c r="CO57" i="64" s="1"/>
  <c r="CO53" i="64"/>
  <c r="CO48" i="64"/>
  <c r="CO49" i="64" s="1"/>
  <c r="CO58" i="64" s="1"/>
  <c r="CO59" i="64" s="1"/>
  <c r="CO60" i="64" s="1"/>
  <c r="CP40" i="64"/>
  <c r="CQ39" i="64"/>
  <c r="CP42" i="64"/>
  <c r="CP41" i="64"/>
  <c r="CP51" i="64"/>
  <c r="CP50" i="64"/>
  <c r="CP52" i="64"/>
  <c r="CQ56" i="64" l="1"/>
  <c r="CQ55" i="64"/>
  <c r="CP54" i="64"/>
  <c r="CP57" i="64" s="1"/>
  <c r="CP53" i="64"/>
  <c r="CP45" i="64"/>
  <c r="CP47" i="64"/>
  <c r="CP43" i="64"/>
  <c r="CP44" i="64" s="1"/>
  <c r="CQ40" i="64"/>
  <c r="CQ45" i="64" s="1"/>
  <c r="CR39" i="64"/>
  <c r="CQ51" i="64"/>
  <c r="CQ52" i="64"/>
  <c r="CQ41" i="64"/>
  <c r="CQ42" i="64"/>
  <c r="CQ50" i="64"/>
  <c r="CQ54" i="64" s="1"/>
  <c r="CR56" i="64" l="1"/>
  <c r="CR55" i="64"/>
  <c r="CQ47" i="64"/>
  <c r="CP48" i="64"/>
  <c r="CQ57" i="64"/>
  <c r="CP49" i="64"/>
  <c r="CP58" i="64" s="1"/>
  <c r="CP59" i="64" s="1"/>
  <c r="CP60" i="64" s="1"/>
  <c r="CQ53" i="64"/>
  <c r="CQ43" i="64"/>
  <c r="CQ44" i="64" s="1"/>
  <c r="CR40" i="64"/>
  <c r="CR43" i="64" s="1"/>
  <c r="CR47" i="64"/>
  <c r="CS39" i="64"/>
  <c r="CR41" i="64"/>
  <c r="CR50" i="64"/>
  <c r="CR51" i="64"/>
  <c r="CR52" i="64"/>
  <c r="CR53" i="64" s="1"/>
  <c r="CR45" i="64"/>
  <c r="CR42" i="64"/>
  <c r="CS56" i="64" l="1"/>
  <c r="CS55" i="64"/>
  <c r="CR54" i="64"/>
  <c r="CR57" i="64" s="1"/>
  <c r="CR44" i="64"/>
  <c r="CR48" i="64"/>
  <c r="CR49" i="64" s="1"/>
  <c r="CR58" i="64" s="1"/>
  <c r="CR59" i="64" s="1"/>
  <c r="CR60" i="64" s="1"/>
  <c r="CQ48" i="64"/>
  <c r="CQ49" i="64" s="1"/>
  <c r="CQ58" i="64" s="1"/>
  <c r="CQ59" i="64" s="1"/>
  <c r="CQ60" i="64" s="1"/>
  <c r="CS40" i="64"/>
  <c r="CT39" i="64"/>
  <c r="CS42" i="64"/>
  <c r="CS41" i="64"/>
  <c r="CS51" i="64"/>
  <c r="CS50" i="64"/>
  <c r="CS52" i="64"/>
  <c r="CS53" i="64" s="1"/>
  <c r="CS43" i="64"/>
  <c r="CT56" i="64" l="1"/>
  <c r="CT55" i="64"/>
  <c r="CS47" i="64"/>
  <c r="CS54" i="64"/>
  <c r="CS45" i="64"/>
  <c r="CS44" i="64"/>
  <c r="CS48" i="64"/>
  <c r="CS49" i="64" s="1"/>
  <c r="CT40" i="64"/>
  <c r="CT47" i="64" s="1"/>
  <c r="CU39" i="64"/>
  <c r="CT42" i="64"/>
  <c r="CT41" i="64"/>
  <c r="CT50" i="64"/>
  <c r="CT54" i="64" s="1"/>
  <c r="CT51" i="64"/>
  <c r="CT52" i="64"/>
  <c r="CU56" i="64" l="1"/>
  <c r="CU55" i="64"/>
  <c r="CT57" i="64"/>
  <c r="CS57" i="64"/>
  <c r="CS58" i="64" s="1"/>
  <c r="CS59" i="64" s="1"/>
  <c r="CS60" i="64" s="1"/>
  <c r="CT45" i="64"/>
  <c r="CT53" i="64"/>
  <c r="CT43" i="64"/>
  <c r="CT44" i="64" s="1"/>
  <c r="CT48" i="64" s="1"/>
  <c r="CT49" i="64" s="1"/>
  <c r="CU40" i="64"/>
  <c r="CU43" i="64" s="1"/>
  <c r="CU47" i="64"/>
  <c r="CV39" i="64"/>
  <c r="CU50" i="64"/>
  <c r="CU41" i="64"/>
  <c r="CU52" i="64"/>
  <c r="CU54" i="64" s="1"/>
  <c r="CU51" i="64"/>
  <c r="CU42" i="64"/>
  <c r="CU45" i="64"/>
  <c r="CV56" i="64" l="1"/>
  <c r="CV55" i="64"/>
  <c r="CT58" i="64"/>
  <c r="CT59" i="64" s="1"/>
  <c r="CT60" i="64" s="1"/>
  <c r="CU44" i="64"/>
  <c r="CU53" i="64"/>
  <c r="CU57" i="64"/>
  <c r="CV40" i="64"/>
  <c r="CV47" i="64"/>
  <c r="CW39" i="64"/>
  <c r="CV51" i="64"/>
  <c r="CV41" i="64"/>
  <c r="CV50" i="64"/>
  <c r="CV42" i="64"/>
  <c r="CV52" i="64"/>
  <c r="CV53" i="64" s="1"/>
  <c r="CW56" i="64" l="1"/>
  <c r="CW55" i="64"/>
  <c r="CV54" i="64"/>
  <c r="CV57" i="64" s="1"/>
  <c r="CV43" i="64"/>
  <c r="CV44" i="64" s="1"/>
  <c r="CV48" i="64" s="1"/>
  <c r="CV49" i="64" s="1"/>
  <c r="CV58" i="64" s="1"/>
  <c r="CV59" i="64" s="1"/>
  <c r="CV60" i="64" s="1"/>
  <c r="CV45" i="64"/>
  <c r="CU48" i="64"/>
  <c r="CU49" i="64" s="1"/>
  <c r="CU58" i="64" s="1"/>
  <c r="CU59" i="64" s="1"/>
  <c r="CU60" i="64" s="1"/>
  <c r="CW40" i="64"/>
  <c r="CX39" i="64"/>
  <c r="CW42" i="64"/>
  <c r="CW41" i="64"/>
  <c r="CW50" i="64"/>
  <c r="CW52" i="64"/>
  <c r="CW51" i="64"/>
  <c r="CX56" i="64" l="1"/>
  <c r="E56" i="64" s="1"/>
  <c r="CX55" i="64"/>
  <c r="CW45" i="64"/>
  <c r="CW54" i="64"/>
  <c r="CW43" i="64"/>
  <c r="CW44" i="64" s="1"/>
  <c r="CW47" i="64"/>
  <c r="CW53" i="64"/>
  <c r="CX40" i="64"/>
  <c r="CX43" i="64" s="1"/>
  <c r="E43" i="64" s="1"/>
  <c r="CX47" i="64"/>
  <c r="E47" i="64" s="1"/>
  <c r="CX42" i="64"/>
  <c r="E42" i="64" s="1"/>
  <c r="CX50" i="64"/>
  <c r="CX41" i="64"/>
  <c r="E41" i="64" s="1"/>
  <c r="CX51" i="64"/>
  <c r="CX52" i="64"/>
  <c r="CX53" i="64" s="1"/>
  <c r="E55" i="64" l="1"/>
  <c r="CX54" i="64"/>
  <c r="CW57" i="64"/>
  <c r="CX45" i="64"/>
  <c r="E45" i="64" s="1"/>
  <c r="E54" i="64"/>
  <c r="CX57" i="64"/>
  <c r="E57" i="64" s="1"/>
  <c r="CW48" i="64"/>
  <c r="CW49" i="64" s="1"/>
  <c r="CW58" i="64" s="1"/>
  <c r="CW59" i="64" s="1"/>
  <c r="CW60" i="64" s="1"/>
  <c r="CX44" i="64"/>
  <c r="E44" i="64" l="1"/>
  <c r="CX48" i="64"/>
  <c r="E48" i="64" l="1"/>
  <c r="CX49" i="64"/>
  <c r="E49" i="64" l="1"/>
  <c r="CX58" i="64"/>
  <c r="E58" i="64" s="1"/>
  <c r="CX59" i="64" l="1"/>
  <c r="E59" i="64" l="1"/>
  <c r="CX60" i="64"/>
  <c r="E60" i="64" s="1"/>
  <c r="D3" i="64" s="1"/>
  <c r="D15" i="72"/>
  <c r="G42" i="72" l="1"/>
  <c r="K41" i="72"/>
  <c r="O41" i="72"/>
  <c r="S41" i="72"/>
  <c r="W41" i="72"/>
  <c r="AA41" i="72"/>
  <c r="AE41" i="72"/>
  <c r="AI42" i="72"/>
  <c r="AM41" i="72"/>
  <c r="AQ42" i="72"/>
  <c r="AJ42" i="72"/>
  <c r="AN41" i="72"/>
  <c r="AR41" i="72"/>
  <c r="AR42" i="72"/>
  <c r="I41" i="72"/>
  <c r="M42" i="72"/>
  <c r="U41" i="72"/>
  <c r="AC42" i="72"/>
  <c r="AG42" i="72"/>
  <c r="AS41" i="72"/>
  <c r="I42" i="72"/>
  <c r="Q42" i="72"/>
  <c r="Y42" i="72"/>
  <c r="AG41" i="72"/>
  <c r="AK42" i="72"/>
  <c r="V41" i="72"/>
  <c r="Z41" i="72"/>
  <c r="AL42" i="72"/>
  <c r="AT41" i="72"/>
  <c r="S42" i="72"/>
  <c r="AA42" i="72"/>
  <c r="AM42" i="72"/>
  <c r="AQ41" i="72"/>
  <c r="H41" i="72"/>
  <c r="L42" i="72"/>
  <c r="P42" i="72"/>
  <c r="T41" i="72"/>
  <c r="X42" i="72"/>
  <c r="AB41" i="72"/>
  <c r="AF41" i="72"/>
  <c r="Q41" i="72"/>
  <c r="AK41" i="72"/>
  <c r="U42" i="72"/>
  <c r="AS42" i="72"/>
  <c r="AP42" i="72"/>
  <c r="W42" i="72"/>
  <c r="H42" i="72"/>
  <c r="L41" i="72"/>
  <c r="P41" i="72"/>
  <c r="T42" i="72"/>
  <c r="X41" i="72"/>
  <c r="AB42" i="72"/>
  <c r="AF42" i="72"/>
  <c r="AJ41" i="72"/>
  <c r="AN42" i="72"/>
  <c r="Y41" i="72"/>
  <c r="AO41" i="72"/>
  <c r="M41" i="72"/>
  <c r="AC41" i="72"/>
  <c r="AO42" i="72"/>
  <c r="AH42" i="72"/>
  <c r="O42" i="72"/>
  <c r="AI41" i="72"/>
  <c r="J42" i="72"/>
  <c r="N41" i="72"/>
  <c r="R42" i="72"/>
  <c r="V42" i="72"/>
  <c r="Z42" i="72"/>
  <c r="AD41" i="72"/>
  <c r="AH41" i="72"/>
  <c r="AL41" i="72"/>
  <c r="AP41" i="72"/>
  <c r="AT42" i="72"/>
  <c r="J41" i="72"/>
  <c r="N42" i="72"/>
  <c r="R41" i="72"/>
  <c r="AD42" i="72"/>
  <c r="K42" i="72"/>
  <c r="AE42" i="72"/>
  <c r="G40" i="72"/>
  <c r="G41" i="72"/>
  <c r="G45" i="72" l="1"/>
  <c r="G47" i="72"/>
  <c r="G56" i="72" s="1"/>
  <c r="G54" i="72"/>
  <c r="H40" i="72"/>
  <c r="F46" i="72"/>
  <c r="F56" i="72" s="1"/>
  <c r="F57" i="72" s="1"/>
  <c r="E41" i="72"/>
  <c r="E42" i="72"/>
  <c r="G43" i="72"/>
  <c r="G44" i="72" l="1"/>
  <c r="F49" i="72"/>
  <c r="F58" i="72" s="1"/>
  <c r="E46" i="72"/>
  <c r="H54" i="72"/>
  <c r="H43" i="72"/>
  <c r="H44" i="72" s="1"/>
  <c r="H47" i="72"/>
  <c r="H56" i="72" s="1"/>
  <c r="H45" i="72"/>
  <c r="I40" i="72"/>
  <c r="G48" i="72" l="1"/>
  <c r="I47" i="72"/>
  <c r="I56" i="72" s="1"/>
  <c r="I54" i="72"/>
  <c r="I43" i="72"/>
  <c r="I44" i="72" s="1"/>
  <c r="J40" i="72"/>
  <c r="I45" i="72"/>
  <c r="H48" i="72"/>
  <c r="H49" i="72" s="1"/>
  <c r="G55" i="72" l="1"/>
  <c r="H55" i="72"/>
  <c r="H57" i="72" s="1"/>
  <c r="G49" i="72"/>
  <c r="J45" i="72"/>
  <c r="J47" i="72"/>
  <c r="J56" i="72" s="1"/>
  <c r="J54" i="72"/>
  <c r="J43" i="72"/>
  <c r="K40" i="72"/>
  <c r="I48" i="72"/>
  <c r="I49" i="72" s="1"/>
  <c r="G57" i="72" l="1"/>
  <c r="H58" i="72"/>
  <c r="H59" i="72" s="1"/>
  <c r="H60" i="72" s="1"/>
  <c r="I55" i="72"/>
  <c r="G58" i="72"/>
  <c r="K47" i="72"/>
  <c r="K56" i="72" s="1"/>
  <c r="K45" i="72"/>
  <c r="K43" i="72"/>
  <c r="K44" i="72" s="1"/>
  <c r="K54" i="72"/>
  <c r="L40" i="72"/>
  <c r="J44" i="72"/>
  <c r="G59" i="72" l="1"/>
  <c r="I57" i="72"/>
  <c r="I58" i="72" s="1"/>
  <c r="K48" i="72"/>
  <c r="K55" i="72" s="1"/>
  <c r="K57" i="72" s="1"/>
  <c r="L43" i="72"/>
  <c r="L44" i="72" s="1"/>
  <c r="M40" i="72"/>
  <c r="L45" i="72"/>
  <c r="L54" i="72"/>
  <c r="L47" i="72"/>
  <c r="L56" i="72" s="1"/>
  <c r="J48" i="72"/>
  <c r="J55" i="72" s="1"/>
  <c r="I59" i="72" l="1"/>
  <c r="I60" i="72" s="1"/>
  <c r="J57" i="72"/>
  <c r="K49" i="72"/>
  <c r="K58" i="72" s="1"/>
  <c r="K59" i="72" s="1"/>
  <c r="K60" i="72" s="1"/>
  <c r="L48" i="72"/>
  <c r="L55" i="72" s="1"/>
  <c r="G60" i="72"/>
  <c r="M47" i="72"/>
  <c r="M56" i="72" s="1"/>
  <c r="M43" i="72"/>
  <c r="M54" i="72"/>
  <c r="N40" i="72"/>
  <c r="M45" i="72"/>
  <c r="J49" i="72"/>
  <c r="L57" i="72" l="1"/>
  <c r="L49" i="72"/>
  <c r="L58" i="72" s="1"/>
  <c r="L59" i="72" s="1"/>
  <c r="L60" i="72" s="1"/>
  <c r="J58" i="72"/>
  <c r="M44" i="72"/>
  <c r="N54" i="72"/>
  <c r="N45" i="72"/>
  <c r="N47" i="72"/>
  <c r="N56" i="72" s="1"/>
  <c r="N43" i="72"/>
  <c r="N44" i="72" s="1"/>
  <c r="O40" i="72"/>
  <c r="O45" i="72" l="1"/>
  <c r="O43" i="72"/>
  <c r="O44" i="72" s="1"/>
  <c r="O47" i="72"/>
  <c r="O56" i="72" s="1"/>
  <c r="O54" i="72"/>
  <c r="P40" i="72"/>
  <c r="J59" i="72"/>
  <c r="N48" i="72"/>
  <c r="N49" i="72" s="1"/>
  <c r="M48" i="72"/>
  <c r="M55" i="72" s="1"/>
  <c r="M57" i="72" l="1"/>
  <c r="O48" i="72"/>
  <c r="O55" i="72" s="1"/>
  <c r="O57" i="72" s="1"/>
  <c r="N55" i="72"/>
  <c r="Q40" i="72"/>
  <c r="P43" i="72"/>
  <c r="P44" i="72" s="1"/>
  <c r="P54" i="72"/>
  <c r="P45" i="72"/>
  <c r="P47" i="72"/>
  <c r="P56" i="72" s="1"/>
  <c r="M49" i="72"/>
  <c r="J60" i="72"/>
  <c r="N57" i="72" l="1"/>
  <c r="N58" i="72" s="1"/>
  <c r="N59" i="72" s="1"/>
  <c r="N60" i="72" s="1"/>
  <c r="O49" i="72"/>
  <c r="O58" i="72" s="1"/>
  <c r="O59" i="72" s="1"/>
  <c r="O60" i="72" s="1"/>
  <c r="P48" i="72"/>
  <c r="P55" i="72" s="1"/>
  <c r="M58" i="72"/>
  <c r="Q43" i="72"/>
  <c r="Q44" i="72" s="1"/>
  <c r="Q47" i="72"/>
  <c r="Q56" i="72" s="1"/>
  <c r="Q54" i="72"/>
  <c r="R40" i="72"/>
  <c r="Q45" i="72"/>
  <c r="P57" i="72" l="1"/>
  <c r="Q48" i="72"/>
  <c r="Q55" i="72" s="1"/>
  <c r="M59" i="72"/>
  <c r="P49" i="72"/>
  <c r="R43" i="72"/>
  <c r="R44" i="72" s="1"/>
  <c r="S40" i="72"/>
  <c r="R54" i="72"/>
  <c r="R47" i="72"/>
  <c r="R56" i="72" s="1"/>
  <c r="R45" i="72"/>
  <c r="Q57" i="72" l="1"/>
  <c r="Q49" i="72"/>
  <c r="Q58" i="72" s="1"/>
  <c r="Q59" i="72" s="1"/>
  <c r="Q60" i="72" s="1"/>
  <c r="R48" i="72"/>
  <c r="R49" i="72" s="1"/>
  <c r="P58" i="72"/>
  <c r="M60" i="72"/>
  <c r="S43" i="72"/>
  <c r="S44" i="72" s="1"/>
  <c r="S45" i="72"/>
  <c r="T40" i="72"/>
  <c r="S47" i="72"/>
  <c r="S56" i="72" s="1"/>
  <c r="S54" i="72"/>
  <c r="R55" i="72" l="1"/>
  <c r="S48" i="72"/>
  <c r="S55" i="72" s="1"/>
  <c r="S57" i="72" s="1"/>
  <c r="U40" i="72"/>
  <c r="T43" i="72"/>
  <c r="T44" i="72" s="1"/>
  <c r="T54" i="72"/>
  <c r="T47" i="72"/>
  <c r="T56" i="72" s="1"/>
  <c r="T45" i="72"/>
  <c r="P59" i="72"/>
  <c r="R57" i="72" l="1"/>
  <c r="R58" i="72" s="1"/>
  <c r="S49" i="72"/>
  <c r="S58" i="72" s="1"/>
  <c r="S59" i="72" s="1"/>
  <c r="S60" i="72" s="1"/>
  <c r="T48" i="72"/>
  <c r="T55" i="72" s="1"/>
  <c r="V40" i="72"/>
  <c r="U43" i="72"/>
  <c r="U44" i="72" s="1"/>
  <c r="U47" i="72"/>
  <c r="U56" i="72" s="1"/>
  <c r="U54" i="72"/>
  <c r="U45" i="72"/>
  <c r="P60" i="72"/>
  <c r="T57" i="72" l="1"/>
  <c r="R59" i="72"/>
  <c r="R60" i="72" s="1"/>
  <c r="T49" i="72"/>
  <c r="T58" i="72" s="1"/>
  <c r="U48" i="72"/>
  <c r="U55" i="72" s="1"/>
  <c r="V43" i="72"/>
  <c r="V44" i="72" s="1"/>
  <c r="V47" i="72"/>
  <c r="V56" i="72" s="1"/>
  <c r="V54" i="72"/>
  <c r="V45" i="72"/>
  <c r="W40" i="72"/>
  <c r="U57" i="72" l="1"/>
  <c r="T59" i="72"/>
  <c r="U49" i="72"/>
  <c r="U58" i="72" s="1"/>
  <c r="V48" i="72"/>
  <c r="V55" i="72" s="1"/>
  <c r="W43" i="72"/>
  <c r="W44" i="72" s="1"/>
  <c r="X40" i="72"/>
  <c r="W45" i="72"/>
  <c r="W47" i="72"/>
  <c r="W56" i="72" s="1"/>
  <c r="W54" i="72"/>
  <c r="T60" i="72"/>
  <c r="V57" i="72" l="1"/>
  <c r="U59" i="72"/>
  <c r="U60" i="72" s="1"/>
  <c r="V49" i="72"/>
  <c r="V58" i="72" s="1"/>
  <c r="W48" i="72"/>
  <c r="W55" i="72" s="1"/>
  <c r="X47" i="72"/>
  <c r="X56" i="72" s="1"/>
  <c r="X43" i="72"/>
  <c r="X44" i="72" s="1"/>
  <c r="Y40" i="72"/>
  <c r="X45" i="72"/>
  <c r="X54" i="72"/>
  <c r="W57" i="72" l="1"/>
  <c r="V59" i="72"/>
  <c r="V60" i="72" s="1"/>
  <c r="W49" i="72"/>
  <c r="W58" i="72" s="1"/>
  <c r="X48" i="72"/>
  <c r="X55" i="72" s="1"/>
  <c r="Y45" i="72"/>
  <c r="Y47" i="72"/>
  <c r="Y56" i="72" s="1"/>
  <c r="Y54" i="72"/>
  <c r="Y43" i="72"/>
  <c r="Y44" i="72" s="1"/>
  <c r="Z40" i="72"/>
  <c r="X57" i="72" l="1"/>
  <c r="W59" i="72"/>
  <c r="W60" i="72" s="1"/>
  <c r="X49" i="72"/>
  <c r="X58" i="72" s="1"/>
  <c r="Y48" i="72"/>
  <c r="Y55" i="72" s="1"/>
  <c r="Z47" i="72"/>
  <c r="Z56" i="72" s="1"/>
  <c r="Z54" i="72"/>
  <c r="Z45" i="72"/>
  <c r="AA40" i="72"/>
  <c r="Z43" i="72"/>
  <c r="Z44" i="72" s="1"/>
  <c r="Y57" i="72" l="1"/>
  <c r="X59" i="72"/>
  <c r="X60" i="72" s="1"/>
  <c r="Y49" i="72"/>
  <c r="Y58" i="72" s="1"/>
  <c r="Z48" i="72"/>
  <c r="Z55" i="72" s="1"/>
  <c r="AA47" i="72"/>
  <c r="AA56" i="72" s="1"/>
  <c r="AA54" i="72"/>
  <c r="AA43" i="72"/>
  <c r="AA44" i="72" s="1"/>
  <c r="AB40" i="72"/>
  <c r="AA45" i="72"/>
  <c r="Z57" i="72" l="1"/>
  <c r="Y59" i="72"/>
  <c r="Y60" i="72" s="1"/>
  <c r="Z49" i="72"/>
  <c r="Z58" i="72" s="1"/>
  <c r="AA48" i="72"/>
  <c r="AA55" i="72" s="1"/>
  <c r="AB45" i="72"/>
  <c r="AB54" i="72"/>
  <c r="AC40" i="72"/>
  <c r="AB47" i="72"/>
  <c r="AB56" i="72" s="1"/>
  <c r="AB43" i="72"/>
  <c r="AB44" i="72" s="1"/>
  <c r="AA57" i="72" l="1"/>
  <c r="Z59" i="72"/>
  <c r="Z60" i="72" s="1"/>
  <c r="AA49" i="72"/>
  <c r="AA58" i="72" s="1"/>
  <c r="AB48" i="72"/>
  <c r="AB49" i="72" s="1"/>
  <c r="AC47" i="72"/>
  <c r="AC56" i="72" s="1"/>
  <c r="AC45" i="72"/>
  <c r="AC54" i="72"/>
  <c r="AD40" i="72"/>
  <c r="AC43" i="72"/>
  <c r="AC44" i="72" s="1"/>
  <c r="AA59" i="72" l="1"/>
  <c r="AA60" i="72" s="1"/>
  <c r="AC48" i="72"/>
  <c r="AC55" i="72" s="1"/>
  <c r="AC57" i="72" s="1"/>
  <c r="AB55" i="72"/>
  <c r="AC49" i="72"/>
  <c r="AE40" i="72"/>
  <c r="AD45" i="72"/>
  <c r="AD47" i="72"/>
  <c r="AD56" i="72" s="1"/>
  <c r="AD43" i="72"/>
  <c r="AD44" i="72" s="1"/>
  <c r="AD54" i="72"/>
  <c r="AB57" i="72" l="1"/>
  <c r="AB58" i="72" s="1"/>
  <c r="AC58" i="72"/>
  <c r="AC59" i="72" s="1"/>
  <c r="AC60" i="72" s="1"/>
  <c r="AD48" i="72"/>
  <c r="AD49" i="72" s="1"/>
  <c r="AE45" i="72"/>
  <c r="AE47" i="72"/>
  <c r="AE56" i="72" s="1"/>
  <c r="AE43" i="72"/>
  <c r="AE44" i="72" s="1"/>
  <c r="AE54" i="72"/>
  <c r="AF40" i="72"/>
  <c r="AB59" i="72" l="1"/>
  <c r="AB60" i="72" s="1"/>
  <c r="AE48" i="72"/>
  <c r="AE55" i="72" s="1"/>
  <c r="AE57" i="72" s="1"/>
  <c r="AD55" i="72"/>
  <c r="AE49" i="72"/>
  <c r="AG40" i="72"/>
  <c r="AF43" i="72"/>
  <c r="AF44" i="72" s="1"/>
  <c r="AF47" i="72"/>
  <c r="AF56" i="72" s="1"/>
  <c r="AF45" i="72"/>
  <c r="AF54" i="72"/>
  <c r="AD57" i="72" l="1"/>
  <c r="AD58" i="72" s="1"/>
  <c r="AE58" i="72"/>
  <c r="AE59" i="72" s="1"/>
  <c r="AE60" i="72" s="1"/>
  <c r="AF48" i="72"/>
  <c r="AF49" i="72" s="1"/>
  <c r="AH40" i="72"/>
  <c r="AG45" i="72"/>
  <c r="AG47" i="72"/>
  <c r="AG56" i="72" s="1"/>
  <c r="AG43" i="72"/>
  <c r="AG44" i="72" s="1"/>
  <c r="AG54" i="72"/>
  <c r="AD59" i="72" l="1"/>
  <c r="AD60" i="72" s="1"/>
  <c r="AF55" i="72"/>
  <c r="AG48" i="72"/>
  <c r="AG49" i="72" s="1"/>
  <c r="AH45" i="72"/>
  <c r="AI40" i="72"/>
  <c r="AH47" i="72"/>
  <c r="AH56" i="72" s="1"/>
  <c r="AH54" i="72"/>
  <c r="AH43" i="72"/>
  <c r="AH44" i="72" s="1"/>
  <c r="AF57" i="72" l="1"/>
  <c r="AF58" i="72" s="1"/>
  <c r="AH48" i="72"/>
  <c r="AH55" i="72" s="1"/>
  <c r="AH57" i="72" s="1"/>
  <c r="AG55" i="72"/>
  <c r="AH49" i="72"/>
  <c r="AI43" i="72"/>
  <c r="AI44" i="72" s="1"/>
  <c r="AI47" i="72"/>
  <c r="AI56" i="72" s="1"/>
  <c r="AI54" i="72"/>
  <c r="AJ40" i="72"/>
  <c r="AI45" i="72"/>
  <c r="AG57" i="72" l="1"/>
  <c r="AG58" i="72" s="1"/>
  <c r="AG59" i="72" s="1"/>
  <c r="AG60" i="72" s="1"/>
  <c r="AF59" i="72"/>
  <c r="AF60" i="72" s="1"/>
  <c r="AI48" i="72"/>
  <c r="AI55" i="72" s="1"/>
  <c r="AH58" i="72"/>
  <c r="AI49" i="72"/>
  <c r="AJ43" i="72"/>
  <c r="AJ44" i="72" s="1"/>
  <c r="AJ47" i="72"/>
  <c r="AJ56" i="72" s="1"/>
  <c r="AK40" i="72"/>
  <c r="AJ45" i="72"/>
  <c r="AJ54" i="72"/>
  <c r="AH59" i="72" l="1"/>
  <c r="AH60" i="72" s="1"/>
  <c r="AI57" i="72"/>
  <c r="AJ48" i="72"/>
  <c r="AJ55" i="72" s="1"/>
  <c r="AI58" i="72"/>
  <c r="AK43" i="72"/>
  <c r="AK44" i="72" s="1"/>
  <c r="AL40" i="72"/>
  <c r="AK45" i="72"/>
  <c r="AK47" i="72"/>
  <c r="AK56" i="72" s="1"/>
  <c r="AK54" i="72"/>
  <c r="AJ49" i="72"/>
  <c r="AI59" i="72" l="1"/>
  <c r="AI60" i="72" s="1"/>
  <c r="AJ57" i="72"/>
  <c r="AJ58" i="72"/>
  <c r="AL54" i="72"/>
  <c r="AL47" i="72"/>
  <c r="AL56" i="72" s="1"/>
  <c r="AL43" i="72"/>
  <c r="AL44" i="72" s="1"/>
  <c r="AL45" i="72"/>
  <c r="AM40" i="72"/>
  <c r="AK48" i="72"/>
  <c r="AK49" i="72" s="1"/>
  <c r="AJ59" i="72" l="1"/>
  <c r="AJ60" i="72" s="1"/>
  <c r="AK55" i="72"/>
  <c r="AM43" i="72"/>
  <c r="AM44" i="72" s="1"/>
  <c r="AM54" i="72"/>
  <c r="AN40" i="72"/>
  <c r="AM45" i="72"/>
  <c r="AM47" i="72"/>
  <c r="AM56" i="72" s="1"/>
  <c r="AL48" i="72"/>
  <c r="AL49" i="72" s="1"/>
  <c r="AK57" i="72" l="1"/>
  <c r="AK58" i="72" s="1"/>
  <c r="AM48" i="72"/>
  <c r="AM55" i="72" s="1"/>
  <c r="AM57" i="72" s="1"/>
  <c r="AL55" i="72"/>
  <c r="AN47" i="72"/>
  <c r="AN56" i="72" s="1"/>
  <c r="AO40" i="72"/>
  <c r="AN54" i="72"/>
  <c r="AN45" i="72"/>
  <c r="AN43" i="72"/>
  <c r="AN44" i="72" s="1"/>
  <c r="AM49" i="72"/>
  <c r="AL57" i="72" l="1"/>
  <c r="AL58" i="72" s="1"/>
  <c r="AL59" i="72" s="1"/>
  <c r="AL60" i="72" s="1"/>
  <c r="AK59" i="72"/>
  <c r="AK60" i="72" s="1"/>
  <c r="AM58" i="72"/>
  <c r="AN48" i="72"/>
  <c r="AN49" i="72" s="1"/>
  <c r="AO43" i="72"/>
  <c r="AO44" i="72" s="1"/>
  <c r="AO47" i="72"/>
  <c r="AO56" i="72" s="1"/>
  <c r="AO45" i="72"/>
  <c r="AP40" i="72"/>
  <c r="AO54" i="72"/>
  <c r="AM59" i="72" l="1"/>
  <c r="AM60" i="72" s="1"/>
  <c r="AO48" i="72"/>
  <c r="AO55" i="72" s="1"/>
  <c r="AO57" i="72" s="1"/>
  <c r="AN55" i="72"/>
  <c r="AP43" i="72"/>
  <c r="AP44" i="72" s="1"/>
  <c r="AQ40" i="72"/>
  <c r="AP45" i="72"/>
  <c r="AP47" i="72"/>
  <c r="AP56" i="72" s="1"/>
  <c r="AP54" i="72"/>
  <c r="AN57" i="72" l="1"/>
  <c r="AN58" i="72" s="1"/>
  <c r="AO49" i="72"/>
  <c r="AO58" i="72" s="1"/>
  <c r="AO59" i="72" s="1"/>
  <c r="AO60" i="72" s="1"/>
  <c r="AQ43" i="72"/>
  <c r="AQ44" i="72" s="1"/>
  <c r="AR40" i="72"/>
  <c r="AQ47" i="72"/>
  <c r="AQ56" i="72" s="1"/>
  <c r="AQ54" i="72"/>
  <c r="AQ45" i="72"/>
  <c r="AP48" i="72"/>
  <c r="AP49" i="72" s="1"/>
  <c r="AN59" i="72" l="1"/>
  <c r="AN60" i="72" s="1"/>
  <c r="AQ48" i="72"/>
  <c r="AQ55" i="72" s="1"/>
  <c r="AQ57" i="72" s="1"/>
  <c r="AP55" i="72"/>
  <c r="AQ49" i="72"/>
  <c r="AR47" i="72"/>
  <c r="AR56" i="72" s="1"/>
  <c r="AR54" i="72"/>
  <c r="AR43" i="72"/>
  <c r="AR44" i="72" s="1"/>
  <c r="AS40" i="72"/>
  <c r="AR45" i="72"/>
  <c r="AP57" i="72" l="1"/>
  <c r="AP58" i="72" s="1"/>
  <c r="AR48" i="72"/>
  <c r="AR55" i="72" s="1"/>
  <c r="AQ58" i="72"/>
  <c r="AQ59" i="72" s="1"/>
  <c r="AQ60" i="72" s="1"/>
  <c r="AR49" i="72"/>
  <c r="AS54" i="72"/>
  <c r="AS47" i="72"/>
  <c r="AS56" i="72" s="1"/>
  <c r="AT40" i="72"/>
  <c r="AS45" i="72"/>
  <c r="AS43" i="72"/>
  <c r="AS44" i="72" s="1"/>
  <c r="AR57" i="72" l="1"/>
  <c r="AP59" i="72"/>
  <c r="AP60" i="72" s="1"/>
  <c r="AR58" i="72"/>
  <c r="AS48" i="72"/>
  <c r="AS55" i="72" s="1"/>
  <c r="AT54" i="72"/>
  <c r="AT47" i="72"/>
  <c r="AT56" i="72" s="1"/>
  <c r="E56" i="72" s="1"/>
  <c r="AT45" i="72"/>
  <c r="E45" i="72" s="1"/>
  <c r="AT43" i="72"/>
  <c r="AS57" i="72" l="1"/>
  <c r="AR59" i="72"/>
  <c r="AR60" i="72" s="1"/>
  <c r="AS49" i="72"/>
  <c r="AS58" i="72" s="1"/>
  <c r="AT44" i="72"/>
  <c r="E43" i="72"/>
  <c r="E47" i="72"/>
  <c r="E54" i="72"/>
  <c r="AS59" i="72" l="1"/>
  <c r="AS60" i="72" s="1"/>
  <c r="AT48" i="72"/>
  <c r="AT55" i="72" s="1"/>
  <c r="E55" i="72" s="1"/>
  <c r="E44" i="72"/>
  <c r="AT57" i="72" l="1"/>
  <c r="E48" i="72"/>
  <c r="AT49" i="72"/>
  <c r="E57" i="72" l="1"/>
  <c r="F59" i="72"/>
  <c r="F60" i="72" s="1"/>
  <c r="E49" i="72"/>
  <c r="AT58" i="72"/>
  <c r="E58" i="72" s="1"/>
  <c r="AT59" i="72" l="1"/>
  <c r="AT60" i="72" l="1"/>
  <c r="E60" i="72" s="1"/>
  <c r="D3" i="72" s="1"/>
  <c r="B3" i="71" s="1"/>
  <c r="E59" i="72"/>
</calcChain>
</file>

<file path=xl/sharedStrings.xml><?xml version="1.0" encoding="utf-8"?>
<sst xmlns="http://schemas.openxmlformats.org/spreadsheetml/2006/main" count="324" uniqueCount="117">
  <si>
    <t>Valuation of K-leasing Loan for securitization</t>
  </si>
  <si>
    <t>Fair Value of Auto Loan Pool (MB)</t>
  </si>
  <si>
    <t>Assumption</t>
  </si>
  <si>
    <t>Verified by IM/KL/MR</t>
  </si>
  <si>
    <t>Remarks</t>
  </si>
  <si>
    <t>Revenue depend solely on interest</t>
  </si>
  <si>
    <t>N</t>
  </si>
  <si>
    <t>Flat funding rate, effective rate, special business tax (SBT) and discount rate</t>
  </si>
  <si>
    <t xml:space="preserve">Expected loss for Operating &amp; business risk aligned with Home loan </t>
  </si>
  <si>
    <t>Y</t>
  </si>
  <si>
    <t>confirmed by IM</t>
  </si>
  <si>
    <t>Amortized loan with flat effective rate for valuation  purpose.</t>
  </si>
  <si>
    <t>Discount rate= Market rate+risk premium from วผ</t>
  </si>
  <si>
    <t>confirmed by วผ</t>
  </si>
  <si>
    <t>Valuation Input Parameter</t>
  </si>
  <si>
    <t>Value</t>
  </si>
  <si>
    <t>Collateral</t>
  </si>
  <si>
    <t>Notional (MB)</t>
  </si>
  <si>
    <t>Confirmed by MR</t>
  </si>
  <si>
    <t>WA asset life (yr)</t>
  </si>
  <si>
    <t xml:space="preserve">Asset life (month) </t>
  </si>
  <si>
    <t>Interest revenue</t>
  </si>
  <si>
    <t>Annual WA flat rate (%of outstanding)</t>
  </si>
  <si>
    <t>Confirmed by KL</t>
  </si>
  <si>
    <t>Monthly  WA effective rate</t>
  </si>
  <si>
    <t>Implied effective rate (month)</t>
  </si>
  <si>
    <t>Other revenue</t>
  </si>
  <si>
    <t>Other revenue (% of outstanding)</t>
  </si>
  <si>
    <t>Need the input from related party(s)</t>
  </si>
  <si>
    <t>Interest cost</t>
  </si>
  <si>
    <t>Funding rate (Annual)</t>
  </si>
  <si>
    <t>Implied funding rate (month)</t>
  </si>
  <si>
    <t>Opearting expense</t>
  </si>
  <si>
    <t>Origination (% of outstanding)</t>
  </si>
  <si>
    <t>Monthly servicing fee (% of outstanding)</t>
  </si>
  <si>
    <t>Special business tax (% of revenue)</t>
  </si>
  <si>
    <t>Credit risk</t>
  </si>
  <si>
    <t>PD</t>
  </si>
  <si>
    <t>Please refer to PD sheet</t>
  </si>
  <si>
    <t>Confirmed by IM</t>
  </si>
  <si>
    <t>LGD (% of EAD)</t>
  </si>
  <si>
    <t>EAD (% of outstanding)</t>
  </si>
  <si>
    <t>Other risk</t>
  </si>
  <si>
    <t>Operational Risk EL (% of net interest income )</t>
  </si>
  <si>
    <t>Business Risk EL  (% of non-interest expense exclude SBT)</t>
  </si>
  <si>
    <t>Tax Rate</t>
  </si>
  <si>
    <t>Discount rate</t>
  </si>
  <si>
    <t>Confirmed by วผ</t>
  </si>
  <si>
    <t>Implied discount rate(month)</t>
  </si>
  <si>
    <t>Monthly Cash flow</t>
  </si>
  <si>
    <t>Month</t>
  </si>
  <si>
    <t>Input Rates</t>
  </si>
  <si>
    <t>NPV</t>
  </si>
  <si>
    <t>Principal</t>
  </si>
  <si>
    <t>Outstanding (Beginning of the Period)</t>
  </si>
  <si>
    <t>Scheduled principal repayment</t>
  </si>
  <si>
    <t>Income</t>
  </si>
  <si>
    <t>Interest Revenue(monthly)</t>
  </si>
  <si>
    <t>Other Revenue</t>
  </si>
  <si>
    <t>Total Revenue</t>
  </si>
  <si>
    <t>Expense</t>
  </si>
  <si>
    <t>Cost of Fund</t>
  </si>
  <si>
    <t>Origination</t>
  </si>
  <si>
    <t>Servicing(KL)</t>
  </si>
  <si>
    <t>SBT @ 3.3%</t>
  </si>
  <si>
    <t>Total non-interest expense</t>
  </si>
  <si>
    <t>EAD</t>
  </si>
  <si>
    <t>LGD</t>
  </si>
  <si>
    <t>Portfolio Net Loss (Average yearly loss)</t>
  </si>
  <si>
    <t>Credit Risk_EL</t>
  </si>
  <si>
    <t>Operational Risk EL</t>
  </si>
  <si>
    <t>Business Risk EL</t>
  </si>
  <si>
    <t>Total EL</t>
  </si>
  <si>
    <t>Risk-Adjusted Return</t>
  </si>
  <si>
    <t>Risk-adjusted Return</t>
  </si>
  <si>
    <t>Risk-adjusted Return (After tax)</t>
  </si>
  <si>
    <t>Net asset cash flow(fair value)</t>
  </si>
  <si>
    <t>Fair Value (MB)</t>
  </si>
  <si>
    <t>Taxation and Discount</t>
  </si>
  <si>
    <t>Scenario</t>
  </si>
  <si>
    <t>Operational Risk EL (% of  net interest  income)</t>
  </si>
  <si>
    <t>Business Risk EL  (% of  non-interest expense exclude SBT)</t>
  </si>
  <si>
    <t>Need the input with related party(s)</t>
  </si>
  <si>
    <t>Cumulative PD term structure</t>
  </si>
  <si>
    <t>Rating\Month</t>
  </si>
  <si>
    <t>Default</t>
  </si>
  <si>
    <t>Forward PD term structure</t>
  </si>
  <si>
    <t>Average PD</t>
  </si>
  <si>
    <t>Outstanding by rating</t>
  </si>
  <si>
    <t>Outstanding by asset class</t>
  </si>
  <si>
    <t>Super master rating</t>
  </si>
  <si>
    <t>PIL Status</t>
  </si>
  <si>
    <t>Outstanding</t>
  </si>
  <si>
    <t>Grade</t>
  </si>
  <si>
    <t>Rating</t>
  </si>
  <si>
    <t>Outstadning</t>
  </si>
  <si>
    <t>PL Normal</t>
  </si>
  <si>
    <t>SMA</t>
  </si>
  <si>
    <t>PL Reschedule</t>
  </si>
  <si>
    <t>PL Restructure(TDR)</t>
  </si>
  <si>
    <t>NPL</t>
  </si>
  <si>
    <t>Total</t>
  </si>
  <si>
    <t>               70,851,146,731</t>
  </si>
  <si>
    <t>(blank)</t>
  </si>
  <si>
    <t>Grand Total</t>
  </si>
  <si>
    <t>Field</t>
  </si>
  <si>
    <t>Average Purchase price</t>
  </si>
  <si>
    <t>Average Original Loan Amount</t>
  </si>
  <si>
    <t>Average Current Loan Amount</t>
  </si>
  <si>
    <t>WA Original Term</t>
  </si>
  <si>
    <t>WA Remaining Term</t>
  </si>
  <si>
    <t>WA Original LTV</t>
  </si>
  <si>
    <t>WA Flat Rate (%)</t>
  </si>
  <si>
    <t>WA Effective Rate (%)</t>
  </si>
  <si>
    <t>WA Application Score</t>
  </si>
  <si>
    <t>N/A</t>
  </si>
  <si>
    <t>WA Fico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</si>
</sst>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#,##0.00_ ;[Red]\-#,##0.00\ "/>
    <numFmt numFmtId="168" formatCode="0.000%"/>
    <numFmt numFmtId="169" formatCode="0.0000%"/>
    <numFmt numFmtId="170" formatCode="dd\-mmm\-yy_)"/>
    <numFmt numFmtId="171" formatCode="0.00_)"/>
    <numFmt numFmtId="172" formatCode="#,##0.00\ &quot;F&quot;;\-#,##0.00\ &quot;F&quot;"/>
    <numFmt numFmtId="173" formatCode="_-[$€]* #,##0.00_-;\-[$€]* #,##0.00_-;_-[$€]* &quot;-&quot;??_-;_-@_-"/>
    <numFmt numFmtId="174" formatCode="&quot;ฃ&quot;#,##0;\-&quot;ฃ&quot;#,##0"/>
    <numFmt numFmtId="175" formatCode="0.0,\k_);[Red]\(0.0,\k\);\-_k_)"/>
    <numFmt numFmtId="176" formatCode="0.0%_);[Red]\(0.0%\);"/>
    <numFmt numFmtId="177" formatCode="_(* #,##0.00_);_(* \(#,##0.00\);_(* &quot;-&quot;?_);_(@_)"/>
    <numFmt numFmtId="178" formatCode="_-* #,##0.0_-;\-* #,##0.0_-;_-* &quot;-&quot;??_-;_-@_-"/>
  </numFmts>
  <fonts count="101">
    <font>
      <sz val="14"/>
      <name val="Cordia New"/>
      <charset val="22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4"/>
      <name val="Cordia New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Cordia New"/>
      <family val="2"/>
    </font>
    <font>
      <sz val="14"/>
      <name val="Cordia New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AngsanaUPC"/>
      <family val="1"/>
      <charset val="222"/>
    </font>
    <font>
      <sz val="7"/>
      <name val="Small Fonts"/>
      <family val="2"/>
    </font>
    <font>
      <b/>
      <i/>
      <sz val="16"/>
      <name val="Helv"/>
    </font>
    <font>
      <sz val="12"/>
      <name val="Helv"/>
    </font>
    <font>
      <sz val="16"/>
      <name val="Angsana New"/>
      <family val="1"/>
    </font>
    <font>
      <sz val="11"/>
      <color theme="1"/>
      <name val="Calibri"/>
      <family val="2"/>
      <charset val="222"/>
      <scheme val="minor"/>
    </font>
    <font>
      <sz val="11"/>
      <color indexed="8"/>
      <name val="Tahoma"/>
      <family val="2"/>
      <charset val="222"/>
    </font>
    <font>
      <sz val="10"/>
      <color indexed="8"/>
      <name val="Arial"/>
      <family val="2"/>
    </font>
    <font>
      <sz val="16"/>
      <name val="AngsanaUPC"/>
      <family val="1"/>
      <charset val="222"/>
    </font>
    <font>
      <sz val="10"/>
      <color indexed="24"/>
      <name val="Arial"/>
      <family val="2"/>
    </font>
    <font>
      <sz val="10"/>
      <name val="ApFont"/>
    </font>
    <font>
      <u/>
      <sz val="14"/>
      <color indexed="12"/>
      <name val="AngsanaUPC"/>
      <family val="1"/>
    </font>
    <font>
      <u/>
      <sz val="14"/>
      <color indexed="36"/>
      <name val="AngsanaUPC"/>
      <family val="1"/>
    </font>
    <font>
      <sz val="11"/>
      <color indexed="9"/>
      <name val="Tahoma"/>
      <family val="2"/>
      <charset val="222"/>
    </font>
    <font>
      <sz val="11"/>
      <color indexed="20"/>
      <name val="Tahoma"/>
      <family val="2"/>
      <charset val="222"/>
    </font>
    <font>
      <b/>
      <sz val="11"/>
      <color indexed="52"/>
      <name val="Tahoma"/>
      <family val="2"/>
      <charset val="222"/>
    </font>
    <font>
      <b/>
      <sz val="11"/>
      <color indexed="9"/>
      <name val="Tahoma"/>
      <family val="2"/>
      <charset val="222"/>
    </font>
    <font>
      <i/>
      <sz val="11"/>
      <color indexed="23"/>
      <name val="Tahoma"/>
      <family val="2"/>
      <charset val="222"/>
    </font>
    <font>
      <sz val="11"/>
      <color indexed="17"/>
      <name val="Tahoma"/>
      <family val="2"/>
      <charset val="222"/>
    </font>
    <font>
      <b/>
      <sz val="15"/>
      <color indexed="56"/>
      <name val="Tahoma"/>
      <family val="2"/>
      <charset val="222"/>
    </font>
    <font>
      <b/>
      <sz val="13"/>
      <color indexed="56"/>
      <name val="Tahoma"/>
      <family val="2"/>
      <charset val="222"/>
    </font>
    <font>
      <b/>
      <sz val="11"/>
      <color indexed="56"/>
      <name val="Tahoma"/>
      <family val="2"/>
      <charset val="222"/>
    </font>
    <font>
      <sz val="11"/>
      <color indexed="62"/>
      <name val="Tahoma"/>
      <family val="2"/>
      <charset val="222"/>
    </font>
    <font>
      <sz val="11"/>
      <color indexed="52"/>
      <name val="Tahoma"/>
      <family val="2"/>
      <charset val="222"/>
    </font>
    <font>
      <sz val="11"/>
      <color indexed="60"/>
      <name val="Tahoma"/>
      <family val="2"/>
      <charset val="222"/>
    </font>
    <font>
      <b/>
      <sz val="11"/>
      <color indexed="63"/>
      <name val="Tahoma"/>
      <family val="2"/>
      <charset val="222"/>
    </font>
    <font>
      <b/>
      <sz val="18"/>
      <color indexed="56"/>
      <name val="Tahoma"/>
      <family val="2"/>
      <charset val="222"/>
    </font>
    <font>
      <b/>
      <sz val="11"/>
      <color indexed="8"/>
      <name val="Tahoma"/>
      <family val="2"/>
      <charset val="222"/>
    </font>
    <font>
      <sz val="11"/>
      <color indexed="10"/>
      <name val="Tahoma"/>
      <family val="2"/>
      <charset val="222"/>
    </font>
    <font>
      <sz val="14"/>
      <name val="AngsanaUPC"/>
      <family val="1"/>
    </font>
    <font>
      <b/>
      <sz val="14"/>
      <name val="Cordia New"/>
      <family val="2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sz val="10"/>
      <color theme="1"/>
      <name val="MS Sans Serif"/>
      <family val="2"/>
    </font>
    <font>
      <b/>
      <sz val="10"/>
      <name val="MS Sans Serif"/>
      <family val="2"/>
    </font>
    <font>
      <sz val="10"/>
      <name val="MS Sans Serif"/>
      <family val="2"/>
    </font>
    <font>
      <b/>
      <sz val="10"/>
      <color theme="1"/>
      <name val="MS Sans Serif"/>
      <family val="2"/>
    </font>
    <font>
      <sz val="10"/>
      <color rgb="FF000000"/>
      <name val="MS Sans Serif"/>
      <family val="2"/>
    </font>
    <font>
      <sz val="10"/>
      <name val="MS Sans Serif"/>
      <family val="2"/>
    </font>
    <font>
      <b/>
      <sz val="15"/>
      <color rgb="FF0070C0"/>
      <name val="MS Sans Serif"/>
      <family val="2"/>
    </font>
    <font>
      <sz val="15"/>
      <color rgb="FF0070C0"/>
      <name val="MS Sans Serif"/>
      <family val="2"/>
    </font>
    <font>
      <b/>
      <sz val="15"/>
      <name val="MS Sans Serif"/>
      <family val="2"/>
    </font>
    <font>
      <b/>
      <sz val="11"/>
      <name val="MS Sans Serif"/>
      <family val="2"/>
    </font>
    <font>
      <sz val="11"/>
      <name val="MS Sans Serif"/>
      <family val="2"/>
    </font>
    <font>
      <sz val="11"/>
      <color rgb="FF000000"/>
      <name val="MS Sans Serif"/>
      <family val="2"/>
    </font>
    <font>
      <b/>
      <sz val="10"/>
      <color theme="0"/>
      <name val="MS Sans Serif"/>
      <family val="2"/>
    </font>
    <font>
      <b/>
      <u val="doubleAccounting"/>
      <sz val="10"/>
      <name val="MS Sans Serif"/>
      <family val="2"/>
    </font>
    <font>
      <b/>
      <u val="doubleAccounting"/>
      <sz val="16"/>
      <name val="MS Sans Serif"/>
      <family val="2"/>
    </font>
    <font>
      <sz val="10"/>
      <color rgb="FFFF0000"/>
      <name val="MS Sans Serif"/>
      <family val="2"/>
    </font>
    <font>
      <b/>
      <sz val="16"/>
      <color theme="0"/>
      <name val="MS Sans Serif"/>
      <family val="2"/>
    </font>
    <font>
      <sz val="11"/>
      <color rgb="FFC00000"/>
      <name val="Calibri"/>
      <family val="2"/>
      <scheme val="minor"/>
    </font>
    <font>
      <sz val="10"/>
      <color theme="1" tint="4.9989318521683403E-2"/>
      <name val="MS Sans Serif"/>
      <family val="2"/>
    </font>
    <font>
      <u val="singleAccounting"/>
      <sz val="10"/>
      <name val="MS Sans Serif"/>
      <family val="2"/>
    </font>
  </fonts>
  <fills count="6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995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164" fontId="8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2" fontId="32" fillId="0" borderId="0"/>
    <xf numFmtId="170" fontId="32" fillId="0" borderId="0"/>
    <xf numFmtId="166" fontId="32" fillId="0" borderId="0"/>
    <xf numFmtId="173" fontId="1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38" fontId="14" fillId="22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10" fontId="14" fillId="23" borderId="6" applyNumberFormat="0" applyBorder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6" fillId="0" borderId="7" applyNumberFormat="0" applyFill="0" applyAlignment="0" applyProtection="0"/>
    <xf numFmtId="0" fontId="27" fillId="24" borderId="0" applyNumberFormat="0" applyBorder="0" applyAlignment="0" applyProtection="0"/>
    <xf numFmtId="37" fontId="33" fillId="0" borderId="0"/>
    <xf numFmtId="171" fontId="34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7" fillId="0" borderId="0"/>
    <xf numFmtId="0" fontId="13" fillId="0" borderId="0"/>
    <xf numFmtId="0" fontId="13" fillId="0" borderId="0"/>
    <xf numFmtId="0" fontId="10" fillId="0" borderId="0"/>
    <xf numFmtId="0" fontId="13" fillId="25" borderId="8" applyNumberFormat="0" applyFont="0" applyAlignment="0" applyProtection="0"/>
    <xf numFmtId="0" fontId="28" fillId="20" borderId="9" applyNumberFormat="0" applyAlignment="0" applyProtection="0"/>
    <xf numFmtId="9" fontId="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" fontId="10" fillId="0" borderId="10" applyNumberFormat="0" applyFill="0" applyAlignment="0" applyProtection="0">
      <alignment horizontal="center" vertical="center"/>
    </xf>
    <xf numFmtId="0" fontId="29" fillId="0" borderId="0" applyNumberFormat="0" applyFill="0" applyBorder="0" applyAlignment="0" applyProtection="0"/>
    <xf numFmtId="0" fontId="30" fillId="0" borderId="11" applyNumberFormat="0" applyFill="0" applyAlignment="0" applyProtection="0"/>
    <xf numFmtId="0" fontId="31" fillId="0" borderId="0" applyNumberFormat="0" applyFill="0" applyBorder="0" applyAlignment="0" applyProtection="0"/>
    <xf numFmtId="164" fontId="13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164" fontId="7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8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36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3" fontId="41" fillId="0" borderId="0" applyFont="0" applyFill="0" applyBorder="0" applyAlignment="0" applyProtection="0"/>
    <xf numFmtId="174" fontId="8" fillId="0" borderId="0" applyFont="0" applyFill="0" applyBorder="0" applyAlignment="0" applyProtection="0"/>
    <xf numFmtId="0" fontId="41" fillId="0" borderId="0" applyFont="0" applyFill="0" applyBorder="0" applyAlignment="0" applyProtection="0"/>
    <xf numFmtId="173" fontId="8" fillId="0" borderId="0" applyFont="0" applyFill="0" applyBorder="0" applyAlignment="0" applyProtection="0"/>
    <xf numFmtId="2" fontId="41" fillId="0" borderId="0" applyFont="0" applyFill="0" applyBorder="0" applyAlignment="0" applyProtection="0"/>
    <xf numFmtId="175" fontId="10" fillId="0" borderId="0"/>
    <xf numFmtId="175" fontId="10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10" fillId="0" borderId="0"/>
    <xf numFmtId="0" fontId="8" fillId="0" borderId="0"/>
    <xf numFmtId="0" fontId="10" fillId="0" borderId="0"/>
    <xf numFmtId="0" fontId="8" fillId="0" borderId="0"/>
    <xf numFmtId="0" fontId="42" fillId="0" borderId="0"/>
    <xf numFmtId="0" fontId="10" fillId="0" borderId="0"/>
    <xf numFmtId="176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9" fillId="0" borderId="0" applyFont="0" applyFill="0" applyBorder="0" applyAlignment="0" applyProtection="0"/>
    <xf numFmtId="38" fontId="10" fillId="23" borderId="0"/>
    <xf numFmtId="0" fontId="43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7" fillId="0" borderId="0" applyFont="0" applyFill="0" applyBorder="0" applyAlignment="0" applyProtection="0"/>
    <xf numFmtId="0" fontId="10" fillId="0" borderId="0"/>
    <xf numFmtId="0" fontId="7" fillId="0" borderId="0"/>
    <xf numFmtId="0" fontId="38" fillId="2" borderId="0" applyNumberFormat="0" applyBorder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5" borderId="0" applyNumberFormat="0" applyBorder="0" applyAlignment="0" applyProtection="0"/>
    <xf numFmtId="0" fontId="38" fillId="6" borderId="0" applyNumberFormat="0" applyBorder="0" applyAlignment="0" applyProtection="0"/>
    <xf numFmtId="0" fontId="38" fillId="7" borderId="0" applyNumberFormat="0" applyBorder="0" applyAlignment="0" applyProtection="0"/>
    <xf numFmtId="0" fontId="38" fillId="8" borderId="0" applyNumberFormat="0" applyBorder="0" applyAlignment="0" applyProtection="0"/>
    <xf numFmtId="0" fontId="38" fillId="9" borderId="0" applyNumberFormat="0" applyBorder="0" applyAlignment="0" applyProtection="0"/>
    <xf numFmtId="0" fontId="38" fillId="10" borderId="0" applyNumberFormat="0" applyBorder="0" applyAlignment="0" applyProtection="0"/>
    <xf numFmtId="0" fontId="38" fillId="5" borderId="0" applyNumberFormat="0" applyBorder="0" applyAlignment="0" applyProtection="0"/>
    <xf numFmtId="0" fontId="38" fillId="8" borderId="0" applyNumberFormat="0" applyBorder="0" applyAlignment="0" applyProtection="0"/>
    <xf numFmtId="0" fontId="38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9" borderId="0" applyNumberFormat="0" applyBorder="0" applyAlignment="0" applyProtection="0"/>
    <xf numFmtId="0" fontId="46" fillId="3" borderId="0" applyNumberFormat="0" applyBorder="0" applyAlignment="0" applyProtection="0"/>
    <xf numFmtId="0" fontId="47" fillId="20" borderId="1" applyNumberFormat="0" applyAlignment="0" applyProtection="0"/>
    <xf numFmtId="0" fontId="48" fillId="21" borderId="2" applyNumberFormat="0" applyAlignment="0" applyProtection="0"/>
    <xf numFmtId="164" fontId="1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" borderId="0" applyNumberFormat="0" applyBorder="0" applyAlignment="0" applyProtection="0"/>
    <xf numFmtId="0" fontId="51" fillId="0" borderId="3" applyNumberFormat="0" applyFill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3" fillId="0" borderId="0" applyNumberFormat="0" applyFill="0" applyBorder="0" applyAlignment="0" applyProtection="0"/>
    <xf numFmtId="0" fontId="54" fillId="7" borderId="1" applyNumberFormat="0" applyAlignment="0" applyProtection="0"/>
    <xf numFmtId="0" fontId="55" fillId="0" borderId="7" applyNumberFormat="0" applyFill="0" applyAlignment="0" applyProtection="0"/>
    <xf numFmtId="0" fontId="56" fillId="24" borderId="0" applyNumberFormat="0" applyBorder="0" applyAlignment="0" applyProtection="0"/>
    <xf numFmtId="0" fontId="38" fillId="25" borderId="8" applyNumberFormat="0" applyFont="0" applyAlignment="0" applyProtection="0"/>
    <xf numFmtId="0" fontId="57" fillId="20" borderId="9" applyNumberFormat="0" applyAlignment="0" applyProtection="0"/>
    <xf numFmtId="9" fontId="10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11" applyNumberFormat="0" applyFill="0" applyAlignment="0" applyProtection="0"/>
    <xf numFmtId="0" fontId="60" fillId="0" borderId="0" applyNumberFormat="0" applyFill="0" applyBorder="0" applyAlignment="0" applyProtection="0"/>
    <xf numFmtId="0" fontId="8" fillId="0" borderId="0"/>
    <xf numFmtId="172" fontId="61" fillId="0" borderId="0"/>
    <xf numFmtId="170" fontId="61" fillId="0" borderId="0"/>
    <xf numFmtId="166" fontId="61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8" fillId="0" borderId="0"/>
    <xf numFmtId="0" fontId="8" fillId="0" borderId="0"/>
    <xf numFmtId="0" fontId="8" fillId="25" borderId="8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8" fillId="0" borderId="0"/>
    <xf numFmtId="0" fontId="8" fillId="0" borderId="0"/>
    <xf numFmtId="0" fontId="8" fillId="25" borderId="8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7" fillId="0" borderId="20" applyNumberFormat="0" applyFill="0" applyAlignment="0" applyProtection="0"/>
    <xf numFmtId="0" fontId="67" fillId="0" borderId="0" applyNumberFormat="0" applyFill="0" applyBorder="0" applyAlignment="0" applyProtection="0"/>
    <xf numFmtId="0" fontId="68" fillId="27" borderId="0" applyNumberFormat="0" applyBorder="0" applyAlignment="0" applyProtection="0"/>
    <xf numFmtId="0" fontId="69" fillId="28" borderId="0" applyNumberFormat="0" applyBorder="0" applyAlignment="0" applyProtection="0"/>
    <xf numFmtId="0" fontId="70" fillId="29" borderId="0" applyNumberFormat="0" applyBorder="0" applyAlignment="0" applyProtection="0"/>
    <xf numFmtId="0" fontId="71" fillId="30" borderId="21" applyNumberFormat="0" applyAlignment="0" applyProtection="0"/>
    <xf numFmtId="0" fontId="72" fillId="31" borderId="22" applyNumberFormat="0" applyAlignment="0" applyProtection="0"/>
    <xf numFmtId="0" fontId="73" fillId="31" borderId="21" applyNumberFormat="0" applyAlignment="0" applyProtection="0"/>
    <xf numFmtId="0" fontId="74" fillId="0" borderId="23" applyNumberFormat="0" applyFill="0" applyAlignment="0" applyProtection="0"/>
    <xf numFmtId="0" fontId="75" fillId="32" borderId="24" applyNumberFormat="0" applyAlignment="0" applyProtection="0"/>
    <xf numFmtId="0" fontId="7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26" applyNumberFormat="0" applyFill="0" applyAlignment="0" applyProtection="0"/>
    <xf numFmtId="0" fontId="79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79" fillId="37" borderId="0" applyNumberFormat="0" applyBorder="0" applyAlignment="0" applyProtection="0"/>
    <xf numFmtId="0" fontId="79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0" borderId="0" applyNumberFormat="0" applyBorder="0" applyAlignment="0" applyProtection="0"/>
    <xf numFmtId="0" fontId="79" fillId="41" borderId="0" applyNumberFormat="0" applyBorder="0" applyAlignment="0" applyProtection="0"/>
    <xf numFmtId="0" fontId="79" fillId="42" borderId="0" applyNumberFormat="0" applyBorder="0" applyAlignment="0" applyProtection="0"/>
    <xf numFmtId="0" fontId="3" fillId="43" borderId="0" applyNumberFormat="0" applyBorder="0" applyAlignment="0" applyProtection="0"/>
    <xf numFmtId="0" fontId="3" fillId="44" borderId="0" applyNumberFormat="0" applyBorder="0" applyAlignment="0" applyProtection="0"/>
    <xf numFmtId="0" fontId="79" fillId="45" borderId="0" applyNumberFormat="0" applyBorder="0" applyAlignment="0" applyProtection="0"/>
    <xf numFmtId="0" fontId="79" fillId="46" borderId="0" applyNumberFormat="0" applyBorder="0" applyAlignment="0" applyProtection="0"/>
    <xf numFmtId="0" fontId="3" fillId="47" borderId="0" applyNumberFormat="0" applyBorder="0" applyAlignment="0" applyProtection="0"/>
    <xf numFmtId="0" fontId="3" fillId="48" borderId="0" applyNumberFormat="0" applyBorder="0" applyAlignment="0" applyProtection="0"/>
    <xf numFmtId="0" fontId="79" fillId="49" borderId="0" applyNumberFormat="0" applyBorder="0" applyAlignment="0" applyProtection="0"/>
    <xf numFmtId="0" fontId="79" fillId="50" borderId="0" applyNumberFormat="0" applyBorder="0" applyAlignment="0" applyProtection="0"/>
    <xf numFmtId="0" fontId="3" fillId="51" borderId="0" applyNumberFormat="0" applyBorder="0" applyAlignment="0" applyProtection="0"/>
    <xf numFmtId="0" fontId="3" fillId="52" borderId="0" applyNumberFormat="0" applyBorder="0" applyAlignment="0" applyProtection="0"/>
    <xf numFmtId="0" fontId="79" fillId="53" borderId="0" applyNumberFormat="0" applyBorder="0" applyAlignment="0" applyProtection="0"/>
    <xf numFmtId="0" fontId="79" fillId="54" borderId="0" applyNumberFormat="0" applyBorder="0" applyAlignment="0" applyProtection="0"/>
    <xf numFmtId="0" fontId="3" fillId="55" borderId="0" applyNumberFormat="0" applyBorder="0" applyAlignment="0" applyProtection="0"/>
    <xf numFmtId="0" fontId="3" fillId="56" borderId="0" applyNumberFormat="0" applyBorder="0" applyAlignment="0" applyProtection="0"/>
    <xf numFmtId="0" fontId="79" fillId="57" borderId="0" applyNumberFormat="0" applyBorder="0" applyAlignment="0" applyProtection="0"/>
    <xf numFmtId="0" fontId="80" fillId="0" borderId="0" applyFill="0" applyBorder="0" applyAlignment="0" applyProtection="0"/>
    <xf numFmtId="9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0" fontId="80" fillId="0" borderId="0" applyFill="0" applyBorder="0" applyAlignment="0" applyProtection="0"/>
    <xf numFmtId="9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0" fontId="8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33" borderId="25" applyNumberFormat="0" applyFont="0" applyAlignment="0" applyProtection="0"/>
    <xf numFmtId="0" fontId="8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33" borderId="25" applyNumberFormat="0" applyFont="0" applyAlignment="0" applyProtection="0"/>
    <xf numFmtId="0" fontId="8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33" borderId="25" applyNumberFormat="0" applyFont="0" applyAlignment="0" applyProtection="0"/>
  </cellStyleXfs>
  <cellXfs count="165">
    <xf numFmtId="0" fontId="0" fillId="0" borderId="0" xfId="0"/>
    <xf numFmtId="0" fontId="11" fillId="0" borderId="0" xfId="190" applyFont="1"/>
    <xf numFmtId="10" fontId="62" fillId="0" borderId="0" xfId="193" applyNumberFormat="1" applyFont="1" applyAlignment="1">
      <alignment horizontal="center"/>
    </xf>
    <xf numFmtId="0" fontId="63" fillId="0" borderId="0" xfId="190" applyFont="1"/>
    <xf numFmtId="0" fontId="84" fillId="0" borderId="6" xfId="933" applyFont="1" applyBorder="1" applyAlignment="1">
      <alignment horizontal="right"/>
    </xf>
    <xf numFmtId="0" fontId="84" fillId="63" borderId="6" xfId="933" applyFont="1" applyFill="1" applyBorder="1"/>
    <xf numFmtId="0" fontId="82" fillId="58" borderId="6" xfId="190" applyFont="1" applyFill="1" applyBorder="1"/>
    <xf numFmtId="0" fontId="82" fillId="0" borderId="6" xfId="0" applyFont="1" applyBorder="1" applyAlignment="1">
      <alignment horizontal="right"/>
    </xf>
    <xf numFmtId="2" fontId="83" fillId="0" borderId="6" xfId="0" applyNumberFormat="1" applyFont="1" applyBorder="1" applyAlignment="1">
      <alignment horizontal="right" vertical="center"/>
    </xf>
    <xf numFmtId="0" fontId="83" fillId="0" borderId="6" xfId="0" applyFont="1" applyBorder="1" applyAlignment="1">
      <alignment horizontal="right" vertical="center"/>
    </xf>
    <xf numFmtId="10" fontId="83" fillId="0" borderId="0" xfId="193" applyNumberFormat="1" applyFont="1" applyFill="1" applyBorder="1"/>
    <xf numFmtId="0" fontId="83" fillId="0" borderId="0" xfId="190" applyFont="1" applyFill="1" applyBorder="1"/>
    <xf numFmtId="0" fontId="82" fillId="58" borderId="6" xfId="0" applyFont="1" applyFill="1" applyBorder="1" applyAlignment="1">
      <alignment vertical="center"/>
    </xf>
    <xf numFmtId="0" fontId="81" fillId="0" borderId="0" xfId="933" applyFont="1"/>
    <xf numFmtId="10" fontId="81" fillId="0" borderId="6" xfId="933" applyNumberFormat="1" applyFont="1" applyBorder="1"/>
    <xf numFmtId="0" fontId="81" fillId="0" borderId="6" xfId="933" applyFont="1" applyBorder="1"/>
    <xf numFmtId="0" fontId="83" fillId="0" borderId="0" xfId="926" applyFont="1"/>
    <xf numFmtId="10" fontId="83" fillId="60" borderId="6" xfId="193" applyNumberFormat="1" applyFont="1" applyFill="1" applyBorder="1"/>
    <xf numFmtId="0" fontId="82" fillId="59" borderId="6" xfId="190" applyFont="1" applyFill="1" applyBorder="1"/>
    <xf numFmtId="0" fontId="83" fillId="0" borderId="6" xfId="190" applyFont="1" applyBorder="1"/>
    <xf numFmtId="0" fontId="83" fillId="0" borderId="0" xfId="0" applyFont="1"/>
    <xf numFmtId="0" fontId="82" fillId="0" borderId="0" xfId="0" applyFont="1"/>
    <xf numFmtId="0" fontId="82" fillId="58" borderId="6" xfId="0" applyFont="1" applyFill="1" applyBorder="1" applyAlignment="1">
      <alignment horizontal="center" vertical="center"/>
    </xf>
    <xf numFmtId="10" fontId="84" fillId="0" borderId="0" xfId="933" applyNumberFormat="1" applyFont="1"/>
    <xf numFmtId="0" fontId="81" fillId="0" borderId="0" xfId="933" applyFont="1" applyBorder="1"/>
    <xf numFmtId="0" fontId="83" fillId="0" borderId="0" xfId="190" applyFont="1"/>
    <xf numFmtId="169" fontId="83" fillId="0" borderId="0" xfId="926" applyNumberFormat="1" applyFont="1"/>
    <xf numFmtId="0" fontId="82" fillId="0" borderId="0" xfId="190" applyFont="1"/>
    <xf numFmtId="169" fontId="82" fillId="0" borderId="0" xfId="926" applyNumberFormat="1" applyFont="1"/>
    <xf numFmtId="10" fontId="81" fillId="0" borderId="0" xfId="933" applyNumberFormat="1" applyFont="1"/>
    <xf numFmtId="10" fontId="81" fillId="0" borderId="0" xfId="933" applyNumberFormat="1" applyFont="1" applyBorder="1"/>
    <xf numFmtId="0" fontId="8" fillId="0" borderId="0" xfId="926"/>
    <xf numFmtId="0" fontId="10" fillId="0" borderId="0" xfId="190" applyFont="1"/>
    <xf numFmtId="2" fontId="83" fillId="0" borderId="6" xfId="190" applyNumberFormat="1" applyFont="1" applyBorder="1" applyAlignment="1">
      <alignment horizontal="right"/>
    </xf>
    <xf numFmtId="0" fontId="83" fillId="0" borderId="6" xfId="190" applyFont="1" applyBorder="1" applyAlignment="1">
      <alignment horizontal="right"/>
    </xf>
    <xf numFmtId="0" fontId="82" fillId="62" borderId="6" xfId="0" applyFont="1" applyFill="1" applyBorder="1" applyAlignment="1">
      <alignment horizontal="right" vertical="center"/>
    </xf>
    <xf numFmtId="0" fontId="0" fillId="0" borderId="6" xfId="0" applyBorder="1"/>
    <xf numFmtId="165" fontId="0" fillId="0" borderId="6" xfId="862" applyNumberFormat="1" applyFont="1" applyBorder="1"/>
    <xf numFmtId="178" fontId="0" fillId="0" borderId="6" xfId="862" applyNumberFormat="1" applyFont="1" applyBorder="1"/>
    <xf numFmtId="10" fontId="0" fillId="0" borderId="6" xfId="864" applyNumberFormat="1" applyFont="1" applyBorder="1"/>
    <xf numFmtId="2" fontId="0" fillId="0" borderId="6" xfId="0" applyNumberFormat="1" applyBorder="1"/>
    <xf numFmtId="165" fontId="0" fillId="0" borderId="6" xfId="862" applyNumberFormat="1" applyFont="1" applyBorder="1" applyAlignment="1">
      <alignment horizontal="right"/>
    </xf>
    <xf numFmtId="0" fontId="8" fillId="60" borderId="6" xfId="0" applyFont="1" applyFill="1" applyBorder="1"/>
    <xf numFmtId="0" fontId="86" fillId="0" borderId="0" xfId="0" applyFont="1" applyAlignment="1">
      <alignment vertical="center"/>
    </xf>
    <xf numFmtId="0" fontId="87" fillId="0" borderId="0" xfId="0" applyFont="1" applyFill="1" applyAlignment="1">
      <alignment vertical="center"/>
    </xf>
    <xf numFmtId="0" fontId="88" fillId="0" borderId="0" xfId="0" applyFont="1" applyFill="1" applyAlignment="1">
      <alignment vertical="center"/>
    </xf>
    <xf numFmtId="0" fontId="89" fillId="0" borderId="0" xfId="937" applyFont="1" applyFill="1" applyAlignment="1">
      <alignment vertical="center"/>
    </xf>
    <xf numFmtId="0" fontId="90" fillId="0" borderId="0" xfId="0" applyFont="1" applyFill="1" applyBorder="1" applyAlignment="1">
      <alignment vertical="center"/>
    </xf>
    <xf numFmtId="0" fontId="91" fillId="0" borderId="0" xfId="0" applyFont="1" applyBorder="1" applyAlignment="1">
      <alignment vertical="center"/>
    </xf>
    <xf numFmtId="0" fontId="92" fillId="0" borderId="0" xfId="0" applyFont="1" applyBorder="1" applyAlignment="1">
      <alignment horizontal="right" vertical="center"/>
    </xf>
    <xf numFmtId="0" fontId="90" fillId="62" borderId="0" xfId="0" applyFont="1" applyFill="1" applyBorder="1" applyAlignment="1">
      <alignment vertical="center"/>
    </xf>
    <xf numFmtId="10" fontId="96" fillId="0" borderId="6" xfId="0" applyNumberFormat="1" applyFont="1" applyFill="1" applyBorder="1" applyAlignment="1" applyProtection="1">
      <alignment vertical="center"/>
      <protection locked="0"/>
    </xf>
    <xf numFmtId="177" fontId="97" fillId="64" borderId="6" xfId="0" applyNumberFormat="1" applyFont="1" applyFill="1" applyBorder="1" applyAlignment="1" applyProtection="1">
      <alignment vertical="center"/>
      <protection hidden="1"/>
    </xf>
    <xf numFmtId="0" fontId="98" fillId="27" borderId="6" xfId="885" applyFont="1" applyBorder="1" applyAlignment="1" applyProtection="1">
      <alignment horizontal="center" vertical="center"/>
      <protection hidden="1"/>
    </xf>
    <xf numFmtId="0" fontId="68" fillId="0" borderId="0" xfId="885" applyFill="1" applyBorder="1" applyAlignment="1" applyProtection="1">
      <alignment horizontal="center" vertical="center"/>
      <protection hidden="1"/>
    </xf>
    <xf numFmtId="0" fontId="83" fillId="0" borderId="10" xfId="0" applyFont="1" applyBorder="1" applyAlignment="1" applyProtection="1">
      <alignment vertical="center"/>
      <protection hidden="1"/>
    </xf>
    <xf numFmtId="0" fontId="0" fillId="0" borderId="6" xfId="0" applyBorder="1" applyAlignment="1">
      <alignment horizontal="center"/>
    </xf>
    <xf numFmtId="0" fontId="0" fillId="0" borderId="6" xfId="0" applyBorder="1" applyAlignment="1"/>
    <xf numFmtId="0" fontId="0" fillId="0" borderId="29" xfId="0" applyBorder="1" applyAlignment="1">
      <alignment horizontal="right"/>
    </xf>
    <xf numFmtId="0" fontId="83" fillId="0" borderId="6" xfId="966" applyFont="1" applyBorder="1" applyAlignment="1" applyProtection="1">
      <alignment vertical="center"/>
      <protection hidden="1"/>
    </xf>
    <xf numFmtId="10" fontId="99" fillId="0" borderId="6" xfId="0" applyNumberFormat="1" applyFont="1" applyFill="1" applyBorder="1" applyAlignment="1" applyProtection="1">
      <alignment vertical="center"/>
      <protection locked="0"/>
    </xf>
    <xf numFmtId="177" fontId="82" fillId="0" borderId="10" xfId="0" applyNumberFormat="1" applyFont="1" applyFill="1" applyBorder="1" applyAlignment="1" applyProtection="1">
      <alignment vertical="center"/>
      <protection hidden="1"/>
    </xf>
    <xf numFmtId="177" fontId="83" fillId="0" borderId="10" xfId="0" applyNumberFormat="1" applyFont="1" applyFill="1" applyBorder="1" applyAlignment="1" applyProtection="1">
      <alignment vertical="center"/>
      <protection hidden="1"/>
    </xf>
    <xf numFmtId="177" fontId="95" fillId="68" borderId="6" xfId="0" applyNumberFormat="1" applyFont="1" applyFill="1" applyBorder="1" applyAlignment="1" applyProtection="1">
      <alignment vertical="center"/>
      <protection hidden="1"/>
    </xf>
    <xf numFmtId="177" fontId="94" fillId="68" borderId="29" xfId="0" applyNumberFormat="1" applyFont="1" applyFill="1" applyBorder="1" applyAlignment="1" applyProtection="1">
      <alignment vertical="center"/>
      <protection hidden="1"/>
    </xf>
    <xf numFmtId="177" fontId="100" fillId="0" borderId="29" xfId="0" applyNumberFormat="1" applyFont="1" applyFill="1" applyBorder="1" applyAlignment="1" applyProtection="1">
      <alignment vertical="center"/>
      <protection hidden="1"/>
    </xf>
    <xf numFmtId="0" fontId="82" fillId="0" borderId="29" xfId="0" applyFont="1" applyBorder="1" applyAlignment="1" applyProtection="1">
      <alignment vertical="center"/>
      <protection hidden="1"/>
    </xf>
    <xf numFmtId="0" fontId="83" fillId="0" borderId="6" xfId="0" applyFont="1" applyBorder="1" applyAlignment="1">
      <alignment horizontal="left" vertical="center"/>
    </xf>
    <xf numFmtId="0" fontId="93" fillId="61" borderId="6" xfId="0" applyFont="1" applyFill="1" applyBorder="1" applyAlignment="1">
      <alignment horizontal="center" vertical="center"/>
    </xf>
    <xf numFmtId="0" fontId="93" fillId="65" borderId="6" xfId="0" applyFont="1" applyFill="1" applyBorder="1" applyAlignment="1">
      <alignment horizontal="center" vertical="center"/>
    </xf>
    <xf numFmtId="0" fontId="93" fillId="61" borderId="6" xfId="0" applyFont="1" applyFill="1" applyBorder="1" applyAlignment="1">
      <alignment horizontal="center" vertical="center"/>
    </xf>
    <xf numFmtId="0" fontId="93" fillId="65" borderId="6" xfId="0" applyFont="1" applyFill="1" applyBorder="1" applyAlignment="1">
      <alignment horizontal="center" vertical="center"/>
    </xf>
    <xf numFmtId="0" fontId="83" fillId="0" borderId="6" xfId="0" applyFont="1" applyBorder="1" applyAlignment="1">
      <alignment horizontal="left" vertical="center"/>
    </xf>
    <xf numFmtId="0" fontId="93" fillId="61" borderId="6" xfId="0" applyFont="1" applyFill="1" applyBorder="1" applyAlignment="1" applyProtection="1">
      <alignment horizontal="center" vertical="center"/>
      <protection hidden="1"/>
    </xf>
    <xf numFmtId="0" fontId="83" fillId="0" borderId="6" xfId="0" applyFont="1" applyFill="1" applyBorder="1" applyAlignment="1" applyProtection="1">
      <alignment vertical="center"/>
      <protection hidden="1"/>
    </xf>
    <xf numFmtId="0" fontId="83" fillId="0" borderId="32" xfId="0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2" fontId="85" fillId="0" borderId="12" xfId="0" applyNumberFormat="1" applyFont="1" applyBorder="1" applyAlignment="1">
      <alignment horizontal="right" vertical="center"/>
    </xf>
    <xf numFmtId="2" fontId="85" fillId="0" borderId="13" xfId="0" applyNumberFormat="1" applyFont="1" applyBorder="1" applyAlignment="1">
      <alignment horizontal="right" vertical="center"/>
    </xf>
    <xf numFmtId="0" fontId="82" fillId="58" borderId="12" xfId="0" applyFont="1" applyFill="1" applyBorder="1" applyAlignment="1">
      <alignment horizontal="center" vertical="center"/>
    </xf>
    <xf numFmtId="0" fontId="82" fillId="58" borderId="13" xfId="0" applyFont="1" applyFill="1" applyBorder="1" applyAlignment="1">
      <alignment horizontal="center" vertical="center"/>
    </xf>
    <xf numFmtId="0" fontId="83" fillId="0" borderId="0" xfId="0" applyFont="1" applyAlignment="1">
      <alignment vertical="center"/>
    </xf>
    <xf numFmtId="40" fontId="83" fillId="0" borderId="0" xfId="0" applyNumberFormat="1" applyFont="1" applyAlignment="1">
      <alignment vertical="center"/>
    </xf>
    <xf numFmtId="0" fontId="83" fillId="0" borderId="0" xfId="0" applyFont="1" applyFill="1" applyAlignment="1">
      <alignment vertical="center"/>
    </xf>
    <xf numFmtId="0" fontId="82" fillId="0" borderId="6" xfId="0" applyFont="1" applyBorder="1" applyAlignment="1">
      <alignment vertical="center"/>
    </xf>
    <xf numFmtId="0" fontId="82" fillId="0" borderId="6" xfId="0" applyFont="1" applyBorder="1" applyAlignment="1" applyProtection="1">
      <alignment vertical="center"/>
      <protection hidden="1"/>
    </xf>
    <xf numFmtId="0" fontId="83" fillId="0" borderId="6" xfId="0" applyFont="1" applyBorder="1" applyAlignment="1" applyProtection="1">
      <alignment vertical="center"/>
      <protection hidden="1"/>
    </xf>
    <xf numFmtId="0" fontId="82" fillId="0" borderId="0" xfId="0" applyFont="1" applyAlignment="1">
      <alignment vertical="center"/>
    </xf>
    <xf numFmtId="0" fontId="83" fillId="0" borderId="28" xfId="0" applyFont="1" applyBorder="1" applyAlignment="1">
      <alignment horizontal="center" vertical="center"/>
    </xf>
    <xf numFmtId="0" fontId="83" fillId="0" borderId="6" xfId="0" applyFont="1" applyBorder="1" applyAlignment="1" applyProtection="1">
      <alignment vertical="center"/>
      <protection hidden="1"/>
    </xf>
    <xf numFmtId="164" fontId="83" fillId="0" borderId="6" xfId="28" applyFont="1" applyFill="1" applyBorder="1" applyAlignment="1" applyProtection="1">
      <alignment vertical="center"/>
      <protection locked="0"/>
    </xf>
    <xf numFmtId="0" fontId="82" fillId="0" borderId="0" xfId="190" applyFont="1" applyFill="1" applyBorder="1" applyAlignment="1">
      <alignment vertical="center"/>
    </xf>
    <xf numFmtId="0" fontId="83" fillId="0" borderId="10" xfId="0" applyFont="1" applyBorder="1" applyAlignment="1">
      <alignment horizontal="center" vertical="center"/>
    </xf>
    <xf numFmtId="0" fontId="83" fillId="0" borderId="6" xfId="0" applyNumberFormat="1" applyFont="1" applyFill="1" applyBorder="1" applyAlignment="1" applyProtection="1">
      <alignment vertical="center"/>
      <protection locked="0"/>
    </xf>
    <xf numFmtId="0" fontId="83" fillId="0" borderId="29" xfId="0" applyFont="1" applyBorder="1" applyAlignment="1">
      <alignment horizontal="center" vertical="center"/>
    </xf>
    <xf numFmtId="0" fontId="83" fillId="0" borderId="0" xfId="190" applyFont="1" applyBorder="1" applyAlignment="1">
      <alignment vertical="center"/>
    </xf>
    <xf numFmtId="4" fontId="83" fillId="0" borderId="0" xfId="190" applyNumberFormat="1" applyFont="1" applyBorder="1" applyAlignment="1">
      <alignment vertical="center"/>
    </xf>
    <xf numFmtId="0" fontId="83" fillId="0" borderId="6" xfId="0" applyFont="1" applyBorder="1" applyAlignment="1">
      <alignment horizontal="center" vertical="center"/>
    </xf>
    <xf numFmtId="10" fontId="83" fillId="0" borderId="6" xfId="0" applyNumberFormat="1" applyFont="1" applyFill="1" applyBorder="1" applyAlignment="1" applyProtection="1">
      <alignment vertical="center"/>
      <protection locked="0"/>
    </xf>
    <xf numFmtId="0" fontId="83" fillId="0" borderId="6" xfId="0" applyFont="1" applyBorder="1" applyAlignment="1">
      <alignment horizontal="center" vertical="center"/>
    </xf>
    <xf numFmtId="9" fontId="83" fillId="0" borderId="6" xfId="0" applyNumberFormat="1" applyFont="1" applyFill="1" applyBorder="1" applyAlignment="1" applyProtection="1">
      <alignment horizontal="center" vertical="center"/>
      <protection locked="0"/>
    </xf>
    <xf numFmtId="10" fontId="83" fillId="0" borderId="0" xfId="0" applyNumberFormat="1" applyFont="1" applyFill="1" applyBorder="1" applyAlignment="1" applyProtection="1">
      <alignment vertical="center"/>
      <protection locked="0"/>
    </xf>
    <xf numFmtId="0" fontId="83" fillId="0" borderId="0" xfId="0" applyFont="1" applyFill="1" applyAlignment="1" applyProtection="1">
      <alignment vertical="center"/>
      <protection hidden="1"/>
    </xf>
    <xf numFmtId="0" fontId="83" fillId="0" borderId="0" xfId="0" applyFont="1" applyAlignment="1" applyProtection="1">
      <alignment vertical="center"/>
      <protection hidden="1"/>
    </xf>
    <xf numFmtId="10" fontId="83" fillId="0" borderId="0" xfId="0" applyNumberFormat="1" applyFont="1" applyFill="1" applyAlignment="1" applyProtection="1">
      <alignment vertical="center"/>
      <protection locked="0"/>
    </xf>
    <xf numFmtId="0" fontId="83" fillId="0" borderId="0" xfId="0" applyFont="1" applyBorder="1" applyAlignment="1" applyProtection="1">
      <alignment vertical="center"/>
      <protection hidden="1"/>
    </xf>
    <xf numFmtId="0" fontId="82" fillId="0" borderId="12" xfId="0" applyFont="1" applyFill="1" applyBorder="1" applyAlignment="1" applyProtection="1">
      <alignment horizontal="left" vertical="center"/>
      <protection hidden="1"/>
    </xf>
    <xf numFmtId="0" fontId="82" fillId="0" borderId="30" xfId="0" applyFont="1" applyFill="1" applyBorder="1" applyAlignment="1" applyProtection="1">
      <alignment horizontal="left" vertical="center"/>
      <protection hidden="1"/>
    </xf>
    <xf numFmtId="0" fontId="82" fillId="0" borderId="13" xfId="0" applyFont="1" applyFill="1" applyBorder="1" applyAlignment="1" applyProtection="1">
      <alignment horizontal="left" vertical="center"/>
      <protection hidden="1"/>
    </xf>
    <xf numFmtId="0" fontId="82" fillId="66" borderId="6" xfId="0" applyFont="1" applyFill="1" applyBorder="1" applyAlignment="1" applyProtection="1">
      <alignment horizontal="center" vertical="center"/>
      <protection hidden="1"/>
    </xf>
    <xf numFmtId="0" fontId="82" fillId="67" borderId="6" xfId="0" applyFont="1" applyFill="1" applyBorder="1" applyAlignment="1" applyProtection="1">
      <alignment horizontal="center" vertical="center"/>
      <protection hidden="1"/>
    </xf>
    <xf numFmtId="0" fontId="82" fillId="26" borderId="12" xfId="0" applyFont="1" applyFill="1" applyBorder="1" applyAlignment="1" applyProtection="1">
      <alignment horizontal="center" vertical="center"/>
      <protection hidden="1"/>
    </xf>
    <xf numFmtId="0" fontId="82" fillId="26" borderId="30" xfId="0" applyFont="1" applyFill="1" applyBorder="1" applyAlignment="1" applyProtection="1">
      <alignment horizontal="center" vertical="center"/>
      <protection hidden="1"/>
    </xf>
    <xf numFmtId="0" fontId="82" fillId="26" borderId="13" xfId="0" applyFont="1" applyFill="1" applyBorder="1" applyAlignment="1" applyProtection="1">
      <alignment horizontal="center" vertical="center"/>
      <protection hidden="1"/>
    </xf>
    <xf numFmtId="177" fontId="83" fillId="0" borderId="28" xfId="0" applyNumberFormat="1" applyFont="1" applyFill="1" applyBorder="1" applyAlignment="1" applyProtection="1">
      <alignment vertical="center"/>
      <protection hidden="1"/>
    </xf>
    <xf numFmtId="177" fontId="83" fillId="0" borderId="33" xfId="28" applyNumberFormat="1" applyFont="1" applyBorder="1" applyAlignment="1" applyProtection="1">
      <alignment vertical="center"/>
      <protection hidden="1"/>
    </xf>
    <xf numFmtId="177" fontId="83" fillId="0" borderId="27" xfId="28" applyNumberFormat="1" applyFont="1" applyBorder="1" applyAlignment="1" applyProtection="1">
      <alignment vertical="center"/>
      <protection hidden="1"/>
    </xf>
    <xf numFmtId="177" fontId="83" fillId="0" borderId="15" xfId="28" applyNumberFormat="1" applyFont="1" applyBorder="1" applyAlignment="1" applyProtection="1">
      <alignment vertical="center"/>
      <protection hidden="1"/>
    </xf>
    <xf numFmtId="0" fontId="82" fillId="0" borderId="10" xfId="0" applyFont="1" applyBorder="1" applyAlignment="1" applyProtection="1">
      <alignment vertical="center"/>
      <protection hidden="1"/>
    </xf>
    <xf numFmtId="177" fontId="83" fillId="0" borderId="31" xfId="28" applyNumberFormat="1" applyFont="1" applyBorder="1" applyAlignment="1" applyProtection="1">
      <alignment vertical="center"/>
      <protection hidden="1"/>
    </xf>
    <xf numFmtId="177" fontId="83" fillId="0" borderId="0" xfId="28" applyNumberFormat="1" applyFont="1" applyBorder="1" applyAlignment="1" applyProtection="1">
      <alignment vertical="center"/>
      <protection hidden="1"/>
    </xf>
    <xf numFmtId="177" fontId="83" fillId="0" borderId="17" xfId="28" applyNumberFormat="1" applyFont="1" applyBorder="1" applyAlignment="1" applyProtection="1">
      <alignment vertical="center"/>
      <protection hidden="1"/>
    </xf>
    <xf numFmtId="0" fontId="83" fillId="0" borderId="28" xfId="0" applyFont="1" applyBorder="1" applyAlignment="1" applyProtection="1">
      <alignment vertical="center"/>
      <protection hidden="1"/>
    </xf>
    <xf numFmtId="10" fontId="83" fillId="0" borderId="28" xfId="0" applyNumberFormat="1" applyFont="1" applyBorder="1" applyAlignment="1" applyProtection="1">
      <alignment vertical="center"/>
      <protection hidden="1"/>
    </xf>
    <xf numFmtId="10" fontId="83" fillId="0" borderId="10" xfId="0" applyNumberFormat="1" applyFont="1" applyBorder="1" applyAlignment="1" applyProtection="1">
      <alignment vertical="center"/>
      <protection hidden="1"/>
    </xf>
    <xf numFmtId="177" fontId="83" fillId="0" borderId="29" xfId="0" applyNumberFormat="1" applyFont="1" applyFill="1" applyBorder="1" applyAlignment="1" applyProtection="1">
      <alignment vertical="center"/>
      <protection hidden="1"/>
    </xf>
    <xf numFmtId="177" fontId="83" fillId="0" borderId="32" xfId="28" applyNumberFormat="1" applyFont="1" applyBorder="1" applyAlignment="1" applyProtection="1">
      <alignment vertical="center"/>
      <protection hidden="1"/>
    </xf>
    <xf numFmtId="177" fontId="83" fillId="0" borderId="16" xfId="28" applyNumberFormat="1" applyFont="1" applyBorder="1" applyAlignment="1" applyProtection="1">
      <alignment vertical="center"/>
      <protection hidden="1"/>
    </xf>
    <xf numFmtId="177" fontId="83" fillId="0" borderId="14" xfId="28" applyNumberFormat="1" applyFont="1" applyBorder="1" applyAlignment="1" applyProtection="1">
      <alignment vertical="center"/>
      <protection hidden="1"/>
    </xf>
    <xf numFmtId="10" fontId="83" fillId="0" borderId="29" xfId="0" applyNumberFormat="1" applyFont="1" applyBorder="1" applyAlignment="1" applyProtection="1">
      <alignment vertical="center"/>
      <protection hidden="1"/>
    </xf>
    <xf numFmtId="177" fontId="83" fillId="0" borderId="32" xfId="28" applyNumberFormat="1" applyFont="1" applyFill="1" applyBorder="1" applyAlignment="1" applyProtection="1">
      <alignment vertical="center"/>
      <protection hidden="1"/>
    </xf>
    <xf numFmtId="177" fontId="83" fillId="0" borderId="16" xfId="28" applyNumberFormat="1" applyFont="1" applyFill="1" applyBorder="1" applyAlignment="1" applyProtection="1">
      <alignment vertical="center"/>
      <protection hidden="1"/>
    </xf>
    <xf numFmtId="177" fontId="83" fillId="0" borderId="14" xfId="28" applyNumberFormat="1" applyFont="1" applyFill="1" applyBorder="1" applyAlignment="1" applyProtection="1">
      <alignment vertical="center"/>
      <protection hidden="1"/>
    </xf>
    <xf numFmtId="177" fontId="81" fillId="0" borderId="31" xfId="0" applyNumberFormat="1" applyFont="1" applyFill="1" applyBorder="1" applyAlignment="1" applyProtection="1">
      <alignment vertical="center"/>
      <protection hidden="1"/>
    </xf>
    <xf numFmtId="177" fontId="81" fillId="0" borderId="0" xfId="0" applyNumberFormat="1" applyFont="1" applyFill="1" applyBorder="1" applyAlignment="1" applyProtection="1">
      <alignment vertical="center"/>
      <protection hidden="1"/>
    </xf>
    <xf numFmtId="177" fontId="81" fillId="0" borderId="17" xfId="0" applyNumberFormat="1" applyFont="1" applyFill="1" applyBorder="1" applyAlignment="1" applyProtection="1">
      <alignment vertical="center"/>
      <protection hidden="1"/>
    </xf>
    <xf numFmtId="177" fontId="83" fillId="0" borderId="31" xfId="0" applyNumberFormat="1" applyFont="1" applyFill="1" applyBorder="1" applyAlignment="1" applyProtection="1">
      <alignment vertical="center"/>
      <protection hidden="1"/>
    </xf>
    <xf numFmtId="177" fontId="83" fillId="0" borderId="0" xfId="0" applyNumberFormat="1" applyFont="1" applyFill="1" applyBorder="1" applyAlignment="1" applyProtection="1">
      <alignment vertical="center"/>
      <protection hidden="1"/>
    </xf>
    <xf numFmtId="177" fontId="83" fillId="0" borderId="17" xfId="0" applyNumberFormat="1" applyFont="1" applyFill="1" applyBorder="1" applyAlignment="1" applyProtection="1">
      <alignment vertical="center"/>
      <protection hidden="1"/>
    </xf>
    <xf numFmtId="0" fontId="83" fillId="0" borderId="10" xfId="0" applyFont="1" applyFill="1" applyBorder="1" applyAlignment="1" applyProtection="1">
      <alignment vertical="center"/>
      <protection hidden="1"/>
    </xf>
    <xf numFmtId="10" fontId="83" fillId="0" borderId="10" xfId="0" applyNumberFormat="1" applyFont="1" applyFill="1" applyBorder="1" applyAlignment="1" applyProtection="1">
      <alignment vertical="center"/>
      <protection hidden="1"/>
    </xf>
    <xf numFmtId="177" fontId="83" fillId="0" borderId="32" xfId="0" applyNumberFormat="1" applyFont="1" applyFill="1" applyBorder="1" applyAlignment="1" applyProtection="1">
      <alignment vertical="center"/>
      <protection hidden="1"/>
    </xf>
    <xf numFmtId="177" fontId="83" fillId="0" borderId="16" xfId="0" applyNumberFormat="1" applyFont="1" applyFill="1" applyBorder="1" applyAlignment="1" applyProtection="1">
      <alignment vertical="center"/>
      <protection hidden="1"/>
    </xf>
    <xf numFmtId="177" fontId="83" fillId="0" borderId="14" xfId="0" applyNumberFormat="1" applyFont="1" applyFill="1" applyBorder="1" applyAlignment="1" applyProtection="1">
      <alignment vertical="center"/>
      <protection hidden="1"/>
    </xf>
    <xf numFmtId="10" fontId="83" fillId="0" borderId="0" xfId="193" applyNumberFormat="1" applyFont="1" applyFill="1" applyBorder="1" applyAlignment="1" applyProtection="1">
      <alignment vertical="center"/>
      <protection hidden="1"/>
    </xf>
    <xf numFmtId="10" fontId="83" fillId="0" borderId="17" xfId="193" applyNumberFormat="1" applyFont="1" applyFill="1" applyBorder="1" applyAlignment="1" applyProtection="1">
      <alignment vertical="center"/>
      <protection hidden="1"/>
    </xf>
    <xf numFmtId="9" fontId="83" fillId="0" borderId="10" xfId="0" applyNumberFormat="1" applyFont="1" applyBorder="1" applyAlignment="1" applyProtection="1">
      <alignment vertical="center"/>
      <protection hidden="1"/>
    </xf>
    <xf numFmtId="10" fontId="83" fillId="0" borderId="10" xfId="193" applyNumberFormat="1" applyFont="1" applyBorder="1" applyAlignment="1" applyProtection="1">
      <alignment horizontal="right" vertical="center"/>
      <protection hidden="1"/>
    </xf>
    <xf numFmtId="177" fontId="83" fillId="0" borderId="10" xfId="193" applyNumberFormat="1" applyFont="1" applyFill="1" applyBorder="1" applyAlignment="1" applyProtection="1">
      <alignment vertical="center"/>
      <protection hidden="1"/>
    </xf>
    <xf numFmtId="0" fontId="83" fillId="0" borderId="28" xfId="0" applyFont="1" applyBorder="1" applyAlignment="1">
      <alignment horizontal="center" vertical="center" wrapText="1"/>
    </xf>
    <xf numFmtId="177" fontId="83" fillId="0" borderId="33" xfId="0" applyNumberFormat="1" applyFont="1" applyFill="1" applyBorder="1" applyAlignment="1" applyProtection="1">
      <alignment vertical="center"/>
      <protection hidden="1"/>
    </xf>
    <xf numFmtId="177" fontId="83" fillId="0" borderId="27" xfId="0" applyNumberFormat="1" applyFont="1" applyFill="1" applyBorder="1" applyAlignment="1" applyProtection="1">
      <alignment vertical="center"/>
      <protection hidden="1"/>
    </xf>
    <xf numFmtId="177" fontId="83" fillId="0" borderId="15" xfId="0" applyNumberFormat="1" applyFont="1" applyFill="1" applyBorder="1" applyAlignment="1" applyProtection="1">
      <alignment vertical="center"/>
      <protection hidden="1"/>
    </xf>
    <xf numFmtId="0" fontId="83" fillId="0" borderId="29" xfId="0" applyFont="1" applyBorder="1" applyAlignment="1">
      <alignment horizontal="center" vertical="center" wrapText="1"/>
    </xf>
    <xf numFmtId="0" fontId="83" fillId="0" borderId="29" xfId="0" applyFont="1" applyBorder="1" applyAlignment="1" applyProtection="1">
      <alignment vertical="center"/>
      <protection hidden="1"/>
    </xf>
    <xf numFmtId="10" fontId="83" fillId="0" borderId="0" xfId="193" applyNumberFormat="1" applyFont="1" applyFill="1" applyAlignment="1" applyProtection="1">
      <alignment vertical="center"/>
      <protection hidden="1"/>
    </xf>
    <xf numFmtId="9" fontId="83" fillId="0" borderId="0" xfId="0" applyNumberFormat="1" applyFont="1" applyFill="1" applyAlignment="1" applyProtection="1">
      <alignment horizontal="center" vertical="center"/>
      <protection hidden="1"/>
    </xf>
    <xf numFmtId="165" fontId="83" fillId="0" borderId="0" xfId="0" applyNumberFormat="1" applyFont="1" applyFill="1" applyAlignment="1" applyProtection="1">
      <alignment vertical="center"/>
      <protection hidden="1"/>
    </xf>
    <xf numFmtId="167" fontId="83" fillId="0" borderId="0" xfId="0" applyNumberFormat="1" applyFont="1" applyFill="1" applyAlignment="1" applyProtection="1">
      <alignment vertical="center"/>
      <protection hidden="1"/>
    </xf>
    <xf numFmtId="164" fontId="83" fillId="0" borderId="0" xfId="0" applyNumberFormat="1" applyFont="1" applyFill="1" applyAlignment="1">
      <alignment vertical="center"/>
    </xf>
    <xf numFmtId="168" fontId="83" fillId="0" borderId="0" xfId="193" applyNumberFormat="1" applyFont="1" applyAlignment="1">
      <alignment vertical="center"/>
    </xf>
    <xf numFmtId="0" fontId="83" fillId="0" borderId="16" xfId="0" applyFont="1" applyBorder="1" applyAlignment="1">
      <alignment horizontal="center" vertical="center"/>
    </xf>
    <xf numFmtId="10" fontId="83" fillId="0" borderId="6" xfId="193" applyNumberFormat="1" applyFont="1" applyFill="1" applyBorder="1" applyAlignment="1" applyProtection="1">
      <alignment vertical="center"/>
      <protection locked="0"/>
    </xf>
    <xf numFmtId="9" fontId="83" fillId="0" borderId="6" xfId="193" applyFont="1" applyFill="1" applyBorder="1" applyAlignment="1" applyProtection="1">
      <alignment vertical="center"/>
      <protection locked="0"/>
    </xf>
  </cellXfs>
  <cellStyles count="995">
    <cellStyle name="20% - Accent1" xfId="897" builtinId="30" customBuiltin="1"/>
    <cellStyle name="20% - Accent1 2" xfId="1" xr:uid="{00000000-0005-0000-0000-000001000000}"/>
    <cellStyle name="20% - Accent1 3" xfId="376" xr:uid="{00000000-0005-0000-0000-000002000000}"/>
    <cellStyle name="20% - Accent1 4" xfId="944" xr:uid="{00000000-0005-0000-0000-000003000000}"/>
    <cellStyle name="20% - Accent1 5" xfId="973" xr:uid="{00000000-0005-0000-0000-000004000000}"/>
    <cellStyle name="20% - Accent2" xfId="901" builtinId="34" customBuiltin="1"/>
    <cellStyle name="20% - Accent2 2" xfId="2" xr:uid="{00000000-0005-0000-0000-000006000000}"/>
    <cellStyle name="20% - Accent2 3" xfId="377" xr:uid="{00000000-0005-0000-0000-000007000000}"/>
    <cellStyle name="20% - Accent2 4" xfId="946" xr:uid="{00000000-0005-0000-0000-000008000000}"/>
    <cellStyle name="20% - Accent2 5" xfId="975" xr:uid="{00000000-0005-0000-0000-000009000000}"/>
    <cellStyle name="20% - Accent3" xfId="905" builtinId="38" customBuiltin="1"/>
    <cellStyle name="20% - Accent3 2" xfId="3" xr:uid="{00000000-0005-0000-0000-00000B000000}"/>
    <cellStyle name="20% - Accent3 3" xfId="378" xr:uid="{00000000-0005-0000-0000-00000C000000}"/>
    <cellStyle name="20% - Accent3 4" xfId="948" xr:uid="{00000000-0005-0000-0000-00000D000000}"/>
    <cellStyle name="20% - Accent3 5" xfId="977" xr:uid="{00000000-0005-0000-0000-00000E000000}"/>
    <cellStyle name="20% - Accent4" xfId="909" builtinId="42" customBuiltin="1"/>
    <cellStyle name="20% - Accent4 2" xfId="4" xr:uid="{00000000-0005-0000-0000-000010000000}"/>
    <cellStyle name="20% - Accent4 3" xfId="379" xr:uid="{00000000-0005-0000-0000-000011000000}"/>
    <cellStyle name="20% - Accent4 4" xfId="950" xr:uid="{00000000-0005-0000-0000-000012000000}"/>
    <cellStyle name="20% - Accent4 5" xfId="979" xr:uid="{00000000-0005-0000-0000-000013000000}"/>
    <cellStyle name="20% - Accent5" xfId="913" builtinId="46" customBuiltin="1"/>
    <cellStyle name="20% - Accent5 2" xfId="5" xr:uid="{00000000-0005-0000-0000-000015000000}"/>
    <cellStyle name="20% - Accent5 3" xfId="380" xr:uid="{00000000-0005-0000-0000-000016000000}"/>
    <cellStyle name="20% - Accent5 4" xfId="952" xr:uid="{00000000-0005-0000-0000-000017000000}"/>
    <cellStyle name="20% - Accent5 5" xfId="981" xr:uid="{00000000-0005-0000-0000-000018000000}"/>
    <cellStyle name="20% - Accent6" xfId="917" builtinId="50" customBuiltin="1"/>
    <cellStyle name="20% - Accent6 2" xfId="6" xr:uid="{00000000-0005-0000-0000-00001A000000}"/>
    <cellStyle name="20% - Accent6 3" xfId="381" xr:uid="{00000000-0005-0000-0000-00001B000000}"/>
    <cellStyle name="20% - Accent6 4" xfId="954" xr:uid="{00000000-0005-0000-0000-00001C000000}"/>
    <cellStyle name="20% - Accent6 5" xfId="983" xr:uid="{00000000-0005-0000-0000-00001D000000}"/>
    <cellStyle name="40% - Accent1" xfId="898" builtinId="31" customBuiltin="1"/>
    <cellStyle name="40% - Accent1 2" xfId="7" xr:uid="{00000000-0005-0000-0000-00001F000000}"/>
    <cellStyle name="40% - Accent1 3" xfId="382" xr:uid="{00000000-0005-0000-0000-000020000000}"/>
    <cellStyle name="40% - Accent1 4" xfId="945" xr:uid="{00000000-0005-0000-0000-000021000000}"/>
    <cellStyle name="40% - Accent1 5" xfId="974" xr:uid="{00000000-0005-0000-0000-000022000000}"/>
    <cellStyle name="40% - Accent2" xfId="902" builtinId="35" customBuiltin="1"/>
    <cellStyle name="40% - Accent2 2" xfId="8" xr:uid="{00000000-0005-0000-0000-000024000000}"/>
    <cellStyle name="40% - Accent2 3" xfId="383" xr:uid="{00000000-0005-0000-0000-000025000000}"/>
    <cellStyle name="40% - Accent2 4" xfId="947" xr:uid="{00000000-0005-0000-0000-000026000000}"/>
    <cellStyle name="40% - Accent2 5" xfId="976" xr:uid="{00000000-0005-0000-0000-000027000000}"/>
    <cellStyle name="40% - Accent3" xfId="906" builtinId="39" customBuiltin="1"/>
    <cellStyle name="40% - Accent3 2" xfId="9" xr:uid="{00000000-0005-0000-0000-000029000000}"/>
    <cellStyle name="40% - Accent3 3" xfId="384" xr:uid="{00000000-0005-0000-0000-00002A000000}"/>
    <cellStyle name="40% - Accent3 4" xfId="949" xr:uid="{00000000-0005-0000-0000-00002B000000}"/>
    <cellStyle name="40% - Accent3 5" xfId="978" xr:uid="{00000000-0005-0000-0000-00002C000000}"/>
    <cellStyle name="40% - Accent4" xfId="910" builtinId="43" customBuiltin="1"/>
    <cellStyle name="40% - Accent4 2" xfId="10" xr:uid="{00000000-0005-0000-0000-00002E000000}"/>
    <cellStyle name="40% - Accent4 3" xfId="385" xr:uid="{00000000-0005-0000-0000-00002F000000}"/>
    <cellStyle name="40% - Accent4 4" xfId="951" xr:uid="{00000000-0005-0000-0000-000030000000}"/>
    <cellStyle name="40% - Accent4 5" xfId="980" xr:uid="{00000000-0005-0000-0000-000031000000}"/>
    <cellStyle name="40% - Accent5" xfId="914" builtinId="47" customBuiltin="1"/>
    <cellStyle name="40% - Accent5 2" xfId="11" xr:uid="{00000000-0005-0000-0000-000033000000}"/>
    <cellStyle name="40% - Accent5 3" xfId="386" xr:uid="{00000000-0005-0000-0000-000034000000}"/>
    <cellStyle name="40% - Accent5 4" xfId="953" xr:uid="{00000000-0005-0000-0000-000035000000}"/>
    <cellStyle name="40% - Accent5 5" xfId="982" xr:uid="{00000000-0005-0000-0000-000036000000}"/>
    <cellStyle name="40% - Accent6" xfId="918" builtinId="51" customBuiltin="1"/>
    <cellStyle name="40% - Accent6 2" xfId="12" xr:uid="{00000000-0005-0000-0000-000038000000}"/>
    <cellStyle name="40% - Accent6 3" xfId="387" xr:uid="{00000000-0005-0000-0000-000039000000}"/>
    <cellStyle name="40% - Accent6 4" xfId="955" xr:uid="{00000000-0005-0000-0000-00003A000000}"/>
    <cellStyle name="40% - Accent6 5" xfId="984" xr:uid="{00000000-0005-0000-0000-00003B000000}"/>
    <cellStyle name="60% - Accent1" xfId="899" builtinId="32" customBuiltin="1"/>
    <cellStyle name="60% - Accent1 2" xfId="13" xr:uid="{00000000-0005-0000-0000-00003D000000}"/>
    <cellStyle name="60% - Accent1 3" xfId="388" xr:uid="{00000000-0005-0000-0000-00003E000000}"/>
    <cellStyle name="60% - Accent2" xfId="903" builtinId="36" customBuiltin="1"/>
    <cellStyle name="60% - Accent2 2" xfId="14" xr:uid="{00000000-0005-0000-0000-000040000000}"/>
    <cellStyle name="60% - Accent2 3" xfId="389" xr:uid="{00000000-0005-0000-0000-000041000000}"/>
    <cellStyle name="60% - Accent3" xfId="907" builtinId="40" customBuiltin="1"/>
    <cellStyle name="60% - Accent3 2" xfId="15" xr:uid="{00000000-0005-0000-0000-000043000000}"/>
    <cellStyle name="60% - Accent3 3" xfId="390" xr:uid="{00000000-0005-0000-0000-000044000000}"/>
    <cellStyle name="60% - Accent4" xfId="911" builtinId="44" customBuiltin="1"/>
    <cellStyle name="60% - Accent4 2" xfId="16" xr:uid="{00000000-0005-0000-0000-000046000000}"/>
    <cellStyle name="60% - Accent4 3" xfId="391" xr:uid="{00000000-0005-0000-0000-000047000000}"/>
    <cellStyle name="60% - Accent5" xfId="915" builtinId="48" customBuiltin="1"/>
    <cellStyle name="60% - Accent5 2" xfId="17" xr:uid="{00000000-0005-0000-0000-000049000000}"/>
    <cellStyle name="60% - Accent5 3" xfId="392" xr:uid="{00000000-0005-0000-0000-00004A000000}"/>
    <cellStyle name="60% - Accent6" xfId="919" builtinId="52" customBuiltin="1"/>
    <cellStyle name="60% - Accent6 2" xfId="18" xr:uid="{00000000-0005-0000-0000-00004C000000}"/>
    <cellStyle name="60% - Accent6 3" xfId="393" xr:uid="{00000000-0005-0000-0000-00004D000000}"/>
    <cellStyle name="Accent1" xfId="896" builtinId="29" customBuiltin="1"/>
    <cellStyle name="Accent1 2" xfId="19" xr:uid="{00000000-0005-0000-0000-00004F000000}"/>
    <cellStyle name="Accent1 3" xfId="394" xr:uid="{00000000-0005-0000-0000-000050000000}"/>
    <cellStyle name="Accent2" xfId="900" builtinId="33" customBuiltin="1"/>
    <cellStyle name="Accent2 2" xfId="20" xr:uid="{00000000-0005-0000-0000-000052000000}"/>
    <cellStyle name="Accent2 3" xfId="395" xr:uid="{00000000-0005-0000-0000-000053000000}"/>
    <cellStyle name="Accent3" xfId="904" builtinId="37" customBuiltin="1"/>
    <cellStyle name="Accent3 2" xfId="21" xr:uid="{00000000-0005-0000-0000-000055000000}"/>
    <cellStyle name="Accent3 3" xfId="396" xr:uid="{00000000-0005-0000-0000-000056000000}"/>
    <cellStyle name="Accent4" xfId="908" builtinId="41" customBuiltin="1"/>
    <cellStyle name="Accent4 2" xfId="22" xr:uid="{00000000-0005-0000-0000-000058000000}"/>
    <cellStyle name="Accent4 3" xfId="397" xr:uid="{00000000-0005-0000-0000-000059000000}"/>
    <cellStyle name="Accent5" xfId="912" builtinId="45" customBuiltin="1"/>
    <cellStyle name="Accent5 2" xfId="23" xr:uid="{00000000-0005-0000-0000-00005B000000}"/>
    <cellStyle name="Accent5 3" xfId="398" xr:uid="{00000000-0005-0000-0000-00005C000000}"/>
    <cellStyle name="Accent6" xfId="916" builtinId="49" customBuiltin="1"/>
    <cellStyle name="Accent6 2" xfId="24" xr:uid="{00000000-0005-0000-0000-00005E000000}"/>
    <cellStyle name="Accent6 3" xfId="399" xr:uid="{00000000-0005-0000-0000-00005F000000}"/>
    <cellStyle name="Bad" xfId="886" builtinId="27" customBuiltin="1"/>
    <cellStyle name="Bad 2" xfId="25" xr:uid="{00000000-0005-0000-0000-000061000000}"/>
    <cellStyle name="Bad 3" xfId="400" xr:uid="{00000000-0005-0000-0000-000062000000}"/>
    <cellStyle name="Calculation" xfId="890" builtinId="22" customBuiltin="1"/>
    <cellStyle name="Calculation 2" xfId="26" xr:uid="{00000000-0005-0000-0000-000064000000}"/>
    <cellStyle name="Calculation 3" xfId="401" xr:uid="{00000000-0005-0000-0000-000065000000}"/>
    <cellStyle name="Check Cell" xfId="892" builtinId="23" customBuiltin="1"/>
    <cellStyle name="Check Cell 2" xfId="27" xr:uid="{00000000-0005-0000-0000-000067000000}"/>
    <cellStyle name="Check Cell 3" xfId="402" xr:uid="{00000000-0005-0000-0000-000068000000}"/>
    <cellStyle name="Comma" xfId="28" builtinId="3"/>
    <cellStyle name="Comma 10" xfId="330" xr:uid="{00000000-0005-0000-0000-00006A000000}"/>
    <cellStyle name="Comma 11" xfId="331" xr:uid="{00000000-0005-0000-0000-00006B000000}"/>
    <cellStyle name="Comma 12" xfId="332" xr:uid="{00000000-0005-0000-0000-00006C000000}"/>
    <cellStyle name="Comma 13" xfId="333" xr:uid="{00000000-0005-0000-0000-00006D000000}"/>
    <cellStyle name="Comma 14" xfId="334" xr:uid="{00000000-0005-0000-0000-00006E000000}"/>
    <cellStyle name="Comma 15" xfId="335" xr:uid="{00000000-0005-0000-0000-00006F000000}"/>
    <cellStyle name="Comma 16" xfId="336" xr:uid="{00000000-0005-0000-0000-000070000000}"/>
    <cellStyle name="Comma 17" xfId="337" xr:uid="{00000000-0005-0000-0000-000071000000}"/>
    <cellStyle name="Comma 18" xfId="327" xr:uid="{00000000-0005-0000-0000-000072000000}"/>
    <cellStyle name="Comma 18 2" xfId="862" xr:uid="{00000000-0005-0000-0000-000073000000}"/>
    <cellStyle name="Comma 18 3" xfId="689" xr:uid="{00000000-0005-0000-0000-000074000000}"/>
    <cellStyle name="Comma 19" xfId="403" xr:uid="{00000000-0005-0000-0000-000075000000}"/>
    <cellStyle name="Comma 2" xfId="29" xr:uid="{00000000-0005-0000-0000-000076000000}"/>
    <cellStyle name="Comma 2 2" xfId="339" xr:uid="{00000000-0005-0000-0000-000077000000}"/>
    <cellStyle name="Comma 2 3" xfId="338" xr:uid="{00000000-0005-0000-0000-000078000000}"/>
    <cellStyle name="Comma 2 3 2" xfId="517" xr:uid="{00000000-0005-0000-0000-000079000000}"/>
    <cellStyle name="Comma 2 3 3" xfId="690" xr:uid="{00000000-0005-0000-0000-00007A000000}"/>
    <cellStyle name="Comma 2 4" xfId="548" xr:uid="{00000000-0005-0000-0000-00007B000000}"/>
    <cellStyle name="Comma 2 5" xfId="722" xr:uid="{00000000-0005-0000-0000-00007C000000}"/>
    <cellStyle name="Comma 2 6" xfId="545" xr:uid="{00000000-0005-0000-0000-00007D000000}"/>
    <cellStyle name="Comma 2_ACCT list" xfId="340" xr:uid="{00000000-0005-0000-0000-00007E000000}"/>
    <cellStyle name="Comma 20" xfId="507" xr:uid="{00000000-0005-0000-0000-00007F000000}"/>
    <cellStyle name="Comma 20 2" xfId="867" xr:uid="{00000000-0005-0000-0000-000080000000}"/>
    <cellStyle name="Comma 20 3" xfId="695" xr:uid="{00000000-0005-0000-0000-000081000000}"/>
    <cellStyle name="Comma 21" xfId="510" xr:uid="{00000000-0005-0000-0000-000082000000}"/>
    <cellStyle name="Comma 21 2" xfId="870" xr:uid="{00000000-0005-0000-0000-000083000000}"/>
    <cellStyle name="Comma 21 3" xfId="698" xr:uid="{00000000-0005-0000-0000-000084000000}"/>
    <cellStyle name="Comma 22" xfId="513" xr:uid="{00000000-0005-0000-0000-000085000000}"/>
    <cellStyle name="Comma 22 2" xfId="873" xr:uid="{00000000-0005-0000-0000-000086000000}"/>
    <cellStyle name="Comma 22 3" xfId="701" xr:uid="{00000000-0005-0000-0000-000087000000}"/>
    <cellStyle name="Comma 23" xfId="520" xr:uid="{00000000-0005-0000-0000-000088000000}"/>
    <cellStyle name="Comma 24" xfId="523" xr:uid="{00000000-0005-0000-0000-000089000000}"/>
    <cellStyle name="Comma 25" xfId="527" xr:uid="{00000000-0005-0000-0000-00008A000000}"/>
    <cellStyle name="Comma 26" xfId="528" xr:uid="{00000000-0005-0000-0000-00008B000000}"/>
    <cellStyle name="Comma 27" xfId="547" xr:uid="{00000000-0005-0000-0000-00008C000000}"/>
    <cellStyle name="Comma 28" xfId="719" xr:uid="{00000000-0005-0000-0000-00008D000000}"/>
    <cellStyle name="Comma 28 2" xfId="931" xr:uid="{00000000-0005-0000-0000-00008E000000}"/>
    <cellStyle name="Comma 28 2 2" xfId="960" xr:uid="{00000000-0005-0000-0000-00008F000000}"/>
    <cellStyle name="Comma 28 2 3" xfId="989" xr:uid="{00000000-0005-0000-0000-000090000000}"/>
    <cellStyle name="Comma 28 3" xfId="942" xr:uid="{00000000-0005-0000-0000-000091000000}"/>
    <cellStyle name="Comma 28 4" xfId="971" xr:uid="{00000000-0005-0000-0000-000092000000}"/>
    <cellStyle name="Comma 29" xfId="878" xr:uid="{00000000-0005-0000-0000-000093000000}"/>
    <cellStyle name="Comma 3" xfId="30" xr:uid="{00000000-0005-0000-0000-000094000000}"/>
    <cellStyle name="Comma 3 2" xfId="341" xr:uid="{00000000-0005-0000-0000-000095000000}"/>
    <cellStyle name="Comma 3 3" xfId="723" xr:uid="{00000000-0005-0000-0000-000096000000}"/>
    <cellStyle name="Comma 3 4" xfId="549" xr:uid="{00000000-0005-0000-0000-000097000000}"/>
    <cellStyle name="Comma 30" xfId="879" xr:uid="{00000000-0005-0000-0000-000098000000}"/>
    <cellStyle name="Comma 31" xfId="542" xr:uid="{00000000-0005-0000-0000-000099000000}"/>
    <cellStyle name="Comma 31 2" xfId="928" xr:uid="{00000000-0005-0000-0000-00009A000000}"/>
    <cellStyle name="Comma 31 2 2" xfId="957" xr:uid="{00000000-0005-0000-0000-00009B000000}"/>
    <cellStyle name="Comma 31 2 3" xfId="986" xr:uid="{00000000-0005-0000-0000-00009C000000}"/>
    <cellStyle name="Comma 31 3" xfId="939" xr:uid="{00000000-0005-0000-0000-00009D000000}"/>
    <cellStyle name="Comma 31 4" xfId="968" xr:uid="{00000000-0005-0000-0000-00009E000000}"/>
    <cellStyle name="Comma 32" xfId="922" xr:uid="{00000000-0005-0000-0000-00009F000000}"/>
    <cellStyle name="Comma 32 2" xfId="934" xr:uid="{00000000-0005-0000-0000-0000A0000000}"/>
    <cellStyle name="Comma 32 2 2" xfId="963" xr:uid="{00000000-0005-0000-0000-0000A1000000}"/>
    <cellStyle name="Comma 32 2 3" xfId="992" xr:uid="{00000000-0005-0000-0000-0000A2000000}"/>
    <cellStyle name="Comma 33" xfId="925" xr:uid="{00000000-0005-0000-0000-0000A3000000}"/>
    <cellStyle name="Comma 4" xfId="342" xr:uid="{00000000-0005-0000-0000-0000A4000000}"/>
    <cellStyle name="Comma 5" xfId="343" xr:uid="{00000000-0005-0000-0000-0000A5000000}"/>
    <cellStyle name="Comma 6" xfId="344" xr:uid="{00000000-0005-0000-0000-0000A6000000}"/>
    <cellStyle name="Comma 7" xfId="345" xr:uid="{00000000-0005-0000-0000-0000A7000000}"/>
    <cellStyle name="Comma 8" xfId="346" xr:uid="{00000000-0005-0000-0000-0000A8000000}"/>
    <cellStyle name="Comma 9" xfId="347" xr:uid="{00000000-0005-0000-0000-0000A9000000}"/>
    <cellStyle name="comma zerodec" xfId="31" xr:uid="{00000000-0005-0000-0000-0000AA000000}"/>
    <cellStyle name="comma zerodec 2" xfId="420" xr:uid="{00000000-0005-0000-0000-0000AB000000}"/>
    <cellStyle name="Comma0" xfId="348" xr:uid="{00000000-0005-0000-0000-0000AC000000}"/>
    <cellStyle name="Currency0" xfId="349" xr:uid="{00000000-0005-0000-0000-0000AD000000}"/>
    <cellStyle name="Currency1" xfId="32" xr:uid="{00000000-0005-0000-0000-0000AE000000}"/>
    <cellStyle name="Currency1 2" xfId="421" xr:uid="{00000000-0005-0000-0000-0000AF000000}"/>
    <cellStyle name="Date" xfId="350" xr:uid="{00000000-0005-0000-0000-0000B0000000}"/>
    <cellStyle name="Dollar (zero dec)" xfId="33" xr:uid="{00000000-0005-0000-0000-0000B1000000}"/>
    <cellStyle name="Dollar (zero dec) 2" xfId="422" xr:uid="{00000000-0005-0000-0000-0000B2000000}"/>
    <cellStyle name="Euro" xfId="34" xr:uid="{00000000-0005-0000-0000-0000B3000000}"/>
    <cellStyle name="Euro 2" xfId="351" xr:uid="{00000000-0005-0000-0000-0000B4000000}"/>
    <cellStyle name="Explanatory Text" xfId="894" builtinId="53" customBuiltin="1"/>
    <cellStyle name="Explanatory Text 2" xfId="35" xr:uid="{00000000-0005-0000-0000-0000B6000000}"/>
    <cellStyle name="Explanatory Text 3" xfId="404" xr:uid="{00000000-0005-0000-0000-0000B7000000}"/>
    <cellStyle name="Fixed" xfId="352" xr:uid="{00000000-0005-0000-0000-0000B8000000}"/>
    <cellStyle name="Good" xfId="885" builtinId="26" customBuiltin="1"/>
    <cellStyle name="Good 2" xfId="36" xr:uid="{00000000-0005-0000-0000-0000BA000000}"/>
    <cellStyle name="Good 3" xfId="405" xr:uid="{00000000-0005-0000-0000-0000BB000000}"/>
    <cellStyle name="Grey" xfId="37" xr:uid="{00000000-0005-0000-0000-0000BC000000}"/>
    <cellStyle name="Heading 1" xfId="881" builtinId="16" customBuiltin="1"/>
    <cellStyle name="Heading 1 2" xfId="38" xr:uid="{00000000-0005-0000-0000-0000BE000000}"/>
    <cellStyle name="Heading 1 3" xfId="406" xr:uid="{00000000-0005-0000-0000-0000BF000000}"/>
    <cellStyle name="Heading 2" xfId="882" builtinId="17" customBuiltin="1"/>
    <cellStyle name="Heading 2 2" xfId="39" xr:uid="{00000000-0005-0000-0000-0000C1000000}"/>
    <cellStyle name="Heading 2 3" xfId="407" xr:uid="{00000000-0005-0000-0000-0000C2000000}"/>
    <cellStyle name="Heading 3" xfId="883" builtinId="18" customBuiltin="1"/>
    <cellStyle name="Heading 3 2" xfId="40" xr:uid="{00000000-0005-0000-0000-0000C4000000}"/>
    <cellStyle name="Heading 3 3" xfId="408" xr:uid="{00000000-0005-0000-0000-0000C5000000}"/>
    <cellStyle name="Heading 4" xfId="884" builtinId="19" customBuiltin="1"/>
    <cellStyle name="Heading 4 2" xfId="41" xr:uid="{00000000-0005-0000-0000-0000C7000000}"/>
    <cellStyle name="Heading 4 3" xfId="409" xr:uid="{00000000-0005-0000-0000-0000C8000000}"/>
    <cellStyle name="Input" xfId="888" builtinId="20" customBuiltin="1"/>
    <cellStyle name="Input [yellow]" xfId="42" xr:uid="{00000000-0005-0000-0000-0000CA000000}"/>
    <cellStyle name="Input 10" xfId="43" xr:uid="{00000000-0005-0000-0000-0000CB000000}"/>
    <cellStyle name="Input 11" xfId="44" xr:uid="{00000000-0005-0000-0000-0000CC000000}"/>
    <cellStyle name="Input 12" xfId="45" xr:uid="{00000000-0005-0000-0000-0000CD000000}"/>
    <cellStyle name="Input 13" xfId="46" xr:uid="{00000000-0005-0000-0000-0000CE000000}"/>
    <cellStyle name="Input 14" xfId="47" xr:uid="{00000000-0005-0000-0000-0000CF000000}"/>
    <cellStyle name="Input 15" xfId="48" xr:uid="{00000000-0005-0000-0000-0000D0000000}"/>
    <cellStyle name="Input 16" xfId="49" xr:uid="{00000000-0005-0000-0000-0000D1000000}"/>
    <cellStyle name="Input 17" xfId="50" xr:uid="{00000000-0005-0000-0000-0000D2000000}"/>
    <cellStyle name="Input 18" xfId="51" xr:uid="{00000000-0005-0000-0000-0000D3000000}"/>
    <cellStyle name="Input 19" xfId="52" xr:uid="{00000000-0005-0000-0000-0000D4000000}"/>
    <cellStyle name="Input 2" xfId="53" xr:uid="{00000000-0005-0000-0000-0000D5000000}"/>
    <cellStyle name="Input 20" xfId="54" xr:uid="{00000000-0005-0000-0000-0000D6000000}"/>
    <cellStyle name="Input 21" xfId="55" xr:uid="{00000000-0005-0000-0000-0000D7000000}"/>
    <cellStyle name="Input 22" xfId="56" xr:uid="{00000000-0005-0000-0000-0000D8000000}"/>
    <cellStyle name="Input 23" xfId="57" xr:uid="{00000000-0005-0000-0000-0000D9000000}"/>
    <cellStyle name="Input 24" xfId="58" xr:uid="{00000000-0005-0000-0000-0000DA000000}"/>
    <cellStyle name="Input 25" xfId="59" xr:uid="{00000000-0005-0000-0000-0000DB000000}"/>
    <cellStyle name="Input 26" xfId="60" xr:uid="{00000000-0005-0000-0000-0000DC000000}"/>
    <cellStyle name="Input 27" xfId="61" xr:uid="{00000000-0005-0000-0000-0000DD000000}"/>
    <cellStyle name="Input 28" xfId="62" xr:uid="{00000000-0005-0000-0000-0000DE000000}"/>
    <cellStyle name="Input 29" xfId="63" xr:uid="{00000000-0005-0000-0000-0000DF000000}"/>
    <cellStyle name="Input 3" xfId="64" xr:uid="{00000000-0005-0000-0000-0000E0000000}"/>
    <cellStyle name="Input 30" xfId="65" xr:uid="{00000000-0005-0000-0000-0000E1000000}"/>
    <cellStyle name="Input 31" xfId="66" xr:uid="{00000000-0005-0000-0000-0000E2000000}"/>
    <cellStyle name="Input 32" xfId="67" xr:uid="{00000000-0005-0000-0000-0000E3000000}"/>
    <cellStyle name="Input 33" xfId="68" xr:uid="{00000000-0005-0000-0000-0000E4000000}"/>
    <cellStyle name="Input 34" xfId="69" xr:uid="{00000000-0005-0000-0000-0000E5000000}"/>
    <cellStyle name="Input 35" xfId="70" xr:uid="{00000000-0005-0000-0000-0000E6000000}"/>
    <cellStyle name="Input 36" xfId="71" xr:uid="{00000000-0005-0000-0000-0000E7000000}"/>
    <cellStyle name="Input 37" xfId="72" xr:uid="{00000000-0005-0000-0000-0000E8000000}"/>
    <cellStyle name="Input 38" xfId="73" xr:uid="{00000000-0005-0000-0000-0000E9000000}"/>
    <cellStyle name="Input 39" xfId="74" xr:uid="{00000000-0005-0000-0000-0000EA000000}"/>
    <cellStyle name="Input 4" xfId="75" xr:uid="{00000000-0005-0000-0000-0000EB000000}"/>
    <cellStyle name="Input 40" xfId="76" xr:uid="{00000000-0005-0000-0000-0000EC000000}"/>
    <cellStyle name="Input 41" xfId="77" xr:uid="{00000000-0005-0000-0000-0000ED000000}"/>
    <cellStyle name="Input 42" xfId="78" xr:uid="{00000000-0005-0000-0000-0000EE000000}"/>
    <cellStyle name="Input 43" xfId="79" xr:uid="{00000000-0005-0000-0000-0000EF000000}"/>
    <cellStyle name="Input 44" xfId="80" xr:uid="{00000000-0005-0000-0000-0000F0000000}"/>
    <cellStyle name="Input 45" xfId="81" xr:uid="{00000000-0005-0000-0000-0000F1000000}"/>
    <cellStyle name="Input 46" xfId="82" xr:uid="{00000000-0005-0000-0000-0000F2000000}"/>
    <cellStyle name="Input 47" xfId="83" xr:uid="{00000000-0005-0000-0000-0000F3000000}"/>
    <cellStyle name="Input 48" xfId="84" xr:uid="{00000000-0005-0000-0000-0000F4000000}"/>
    <cellStyle name="Input 49" xfId="85" xr:uid="{00000000-0005-0000-0000-0000F5000000}"/>
    <cellStyle name="Input 5" xfId="86" xr:uid="{00000000-0005-0000-0000-0000F6000000}"/>
    <cellStyle name="Input 50" xfId="87" xr:uid="{00000000-0005-0000-0000-0000F7000000}"/>
    <cellStyle name="Input 51" xfId="88" xr:uid="{00000000-0005-0000-0000-0000F8000000}"/>
    <cellStyle name="Input 52" xfId="89" xr:uid="{00000000-0005-0000-0000-0000F9000000}"/>
    <cellStyle name="Input 53" xfId="90" xr:uid="{00000000-0005-0000-0000-0000FA000000}"/>
    <cellStyle name="Input 54" xfId="91" xr:uid="{00000000-0005-0000-0000-0000FB000000}"/>
    <cellStyle name="Input 55" xfId="92" xr:uid="{00000000-0005-0000-0000-0000FC000000}"/>
    <cellStyle name="Input 56" xfId="93" xr:uid="{00000000-0005-0000-0000-0000FD000000}"/>
    <cellStyle name="Input 57" xfId="94" xr:uid="{00000000-0005-0000-0000-0000FE000000}"/>
    <cellStyle name="Input 58" xfId="95" xr:uid="{00000000-0005-0000-0000-0000FF000000}"/>
    <cellStyle name="Input 59" xfId="96" xr:uid="{00000000-0005-0000-0000-000000010000}"/>
    <cellStyle name="Input 6" xfId="97" xr:uid="{00000000-0005-0000-0000-000001010000}"/>
    <cellStyle name="Input 60" xfId="98" xr:uid="{00000000-0005-0000-0000-000002010000}"/>
    <cellStyle name="Input 61" xfId="99" xr:uid="{00000000-0005-0000-0000-000003010000}"/>
    <cellStyle name="Input 62" xfId="100" xr:uid="{00000000-0005-0000-0000-000004010000}"/>
    <cellStyle name="Input 63" xfId="101" xr:uid="{00000000-0005-0000-0000-000005010000}"/>
    <cellStyle name="Input 64" xfId="102" xr:uid="{00000000-0005-0000-0000-000006010000}"/>
    <cellStyle name="Input 65" xfId="103" xr:uid="{00000000-0005-0000-0000-000007010000}"/>
    <cellStyle name="Input 66" xfId="104" xr:uid="{00000000-0005-0000-0000-000008010000}"/>
    <cellStyle name="Input 67" xfId="105" xr:uid="{00000000-0005-0000-0000-000009010000}"/>
    <cellStyle name="Input 68" xfId="106" xr:uid="{00000000-0005-0000-0000-00000A010000}"/>
    <cellStyle name="Input 69" xfId="107" xr:uid="{00000000-0005-0000-0000-00000B010000}"/>
    <cellStyle name="Input 7" xfId="108" xr:uid="{00000000-0005-0000-0000-00000C010000}"/>
    <cellStyle name="Input 70" xfId="410" xr:uid="{00000000-0005-0000-0000-00000D010000}"/>
    <cellStyle name="Input 8" xfId="109" xr:uid="{00000000-0005-0000-0000-00000E010000}"/>
    <cellStyle name="Input 9" xfId="110" xr:uid="{00000000-0005-0000-0000-00000F010000}"/>
    <cellStyle name="k_unit" xfId="353" xr:uid="{00000000-0005-0000-0000-000010010000}"/>
    <cellStyle name="k_unit_2012-2014 Yield &amp; MFTP Forecast (CL Dept) v3" xfId="354" xr:uid="{00000000-0005-0000-0000-000011010000}"/>
    <cellStyle name="Linked Cell" xfId="891" builtinId="24" customBuiltin="1"/>
    <cellStyle name="Linked Cell 2" xfId="111" xr:uid="{00000000-0005-0000-0000-000013010000}"/>
    <cellStyle name="Linked Cell 3" xfId="411" xr:uid="{00000000-0005-0000-0000-000014010000}"/>
    <cellStyle name="Neutral" xfId="887" builtinId="28" customBuiltin="1"/>
    <cellStyle name="Neutral 2" xfId="112" xr:uid="{00000000-0005-0000-0000-000016010000}"/>
    <cellStyle name="Neutral 3" xfId="412" xr:uid="{00000000-0005-0000-0000-000017010000}"/>
    <cellStyle name="no dec" xfId="113" xr:uid="{00000000-0005-0000-0000-000018010000}"/>
    <cellStyle name="Normal" xfId="0" builtinId="0"/>
    <cellStyle name="Normal - Style1" xfId="114" xr:uid="{00000000-0005-0000-0000-00001A010000}"/>
    <cellStyle name="Normal - Style2" xfId="115" xr:uid="{00000000-0005-0000-0000-00001B010000}"/>
    <cellStyle name="Normal - Style3" xfId="116" xr:uid="{00000000-0005-0000-0000-00001C010000}"/>
    <cellStyle name="Normal - Style4" xfId="117" xr:uid="{00000000-0005-0000-0000-00001D010000}"/>
    <cellStyle name="Normal - Style5" xfId="118" xr:uid="{00000000-0005-0000-0000-00001E010000}"/>
    <cellStyle name="Normal 10" xfId="119" xr:uid="{00000000-0005-0000-0000-00001F010000}"/>
    <cellStyle name="Normal 10 2" xfId="724" xr:uid="{00000000-0005-0000-0000-000020010000}"/>
    <cellStyle name="Normal 10 3" xfId="550" xr:uid="{00000000-0005-0000-0000-000021010000}"/>
    <cellStyle name="Normal 100" xfId="280" xr:uid="{00000000-0005-0000-0000-000022010000}"/>
    <cellStyle name="Normal 101" xfId="281" xr:uid="{00000000-0005-0000-0000-000023010000}"/>
    <cellStyle name="Normal 102" xfId="282" xr:uid="{00000000-0005-0000-0000-000024010000}"/>
    <cellStyle name="Normal 103" xfId="283" xr:uid="{00000000-0005-0000-0000-000025010000}"/>
    <cellStyle name="Normal 104" xfId="284" xr:uid="{00000000-0005-0000-0000-000026010000}"/>
    <cellStyle name="Normal 105" xfId="285" xr:uid="{00000000-0005-0000-0000-000027010000}"/>
    <cellStyle name="Normal 106" xfId="286" xr:uid="{00000000-0005-0000-0000-000028010000}"/>
    <cellStyle name="Normal 107" xfId="287" xr:uid="{00000000-0005-0000-0000-000029010000}"/>
    <cellStyle name="Normal 108" xfId="288" xr:uid="{00000000-0005-0000-0000-00002A010000}"/>
    <cellStyle name="Normal 109" xfId="289" xr:uid="{00000000-0005-0000-0000-00002B010000}"/>
    <cellStyle name="Normal 11" xfId="120" xr:uid="{00000000-0005-0000-0000-00002C010000}"/>
    <cellStyle name="Normal 11 2" xfId="725" xr:uid="{00000000-0005-0000-0000-00002D010000}"/>
    <cellStyle name="Normal 11 3" xfId="551" xr:uid="{00000000-0005-0000-0000-00002E010000}"/>
    <cellStyle name="Normal 110" xfId="290" xr:uid="{00000000-0005-0000-0000-00002F010000}"/>
    <cellStyle name="Normal 111" xfId="291" xr:uid="{00000000-0005-0000-0000-000030010000}"/>
    <cellStyle name="Normal 112" xfId="292" xr:uid="{00000000-0005-0000-0000-000031010000}"/>
    <cellStyle name="Normal 113" xfId="293" xr:uid="{00000000-0005-0000-0000-000032010000}"/>
    <cellStyle name="Normal 114" xfId="294" xr:uid="{00000000-0005-0000-0000-000033010000}"/>
    <cellStyle name="Normal 115" xfId="295" xr:uid="{00000000-0005-0000-0000-000034010000}"/>
    <cellStyle name="Normal 116" xfId="296" xr:uid="{00000000-0005-0000-0000-000035010000}"/>
    <cellStyle name="Normal 117" xfId="297" xr:uid="{00000000-0005-0000-0000-000036010000}"/>
    <cellStyle name="Normal 118" xfId="298" xr:uid="{00000000-0005-0000-0000-000037010000}"/>
    <cellStyle name="Normal 119" xfId="299" xr:uid="{00000000-0005-0000-0000-000038010000}"/>
    <cellStyle name="Normal 12" xfId="121" xr:uid="{00000000-0005-0000-0000-000039010000}"/>
    <cellStyle name="Normal 12 2" xfId="726" xr:uid="{00000000-0005-0000-0000-00003A010000}"/>
    <cellStyle name="Normal 12 3" xfId="552" xr:uid="{00000000-0005-0000-0000-00003B010000}"/>
    <cellStyle name="Normal 120" xfId="300" xr:uid="{00000000-0005-0000-0000-00003C010000}"/>
    <cellStyle name="Normal 121" xfId="301" xr:uid="{00000000-0005-0000-0000-00003D010000}"/>
    <cellStyle name="Normal 122" xfId="302" xr:uid="{00000000-0005-0000-0000-00003E010000}"/>
    <cellStyle name="Normal 123" xfId="303" xr:uid="{00000000-0005-0000-0000-00003F010000}"/>
    <cellStyle name="Normal 124" xfId="304" xr:uid="{00000000-0005-0000-0000-000040010000}"/>
    <cellStyle name="Normal 125" xfId="305" xr:uid="{00000000-0005-0000-0000-000041010000}"/>
    <cellStyle name="Normal 126" xfId="306" xr:uid="{00000000-0005-0000-0000-000042010000}"/>
    <cellStyle name="Normal 127" xfId="307" xr:uid="{00000000-0005-0000-0000-000043010000}"/>
    <cellStyle name="Normal 128" xfId="308" xr:uid="{00000000-0005-0000-0000-000044010000}"/>
    <cellStyle name="Normal 129" xfId="309" xr:uid="{00000000-0005-0000-0000-000045010000}"/>
    <cellStyle name="Normal 13" xfId="122" xr:uid="{00000000-0005-0000-0000-000046010000}"/>
    <cellStyle name="Normal 13 2" xfId="516" xr:uid="{00000000-0005-0000-0000-000047010000}"/>
    <cellStyle name="Normal 13 3" xfId="553" xr:uid="{00000000-0005-0000-0000-000048010000}"/>
    <cellStyle name="Normal 130" xfId="310" xr:uid="{00000000-0005-0000-0000-000049010000}"/>
    <cellStyle name="Normal 131" xfId="311" xr:uid="{00000000-0005-0000-0000-00004A010000}"/>
    <cellStyle name="Normal 132" xfId="312" xr:uid="{00000000-0005-0000-0000-00004B010000}"/>
    <cellStyle name="Normal 133" xfId="313" xr:uid="{00000000-0005-0000-0000-00004C010000}"/>
    <cellStyle name="Normal 134" xfId="314" xr:uid="{00000000-0005-0000-0000-00004D010000}"/>
    <cellStyle name="Normal 135" xfId="315" xr:uid="{00000000-0005-0000-0000-00004E010000}"/>
    <cellStyle name="Normal 136" xfId="316" xr:uid="{00000000-0005-0000-0000-00004F010000}"/>
    <cellStyle name="Normal 137" xfId="439" xr:uid="{00000000-0005-0000-0000-000050010000}"/>
    <cellStyle name="Normal 138" xfId="317" xr:uid="{00000000-0005-0000-0000-000051010000}"/>
    <cellStyle name="Normal 139" xfId="318" xr:uid="{00000000-0005-0000-0000-000052010000}"/>
    <cellStyle name="Normal 14" xfId="123" xr:uid="{00000000-0005-0000-0000-000053010000}"/>
    <cellStyle name="Normal 14 2" xfId="727" xr:uid="{00000000-0005-0000-0000-000054010000}"/>
    <cellStyle name="Normal 14 3" xfId="554" xr:uid="{00000000-0005-0000-0000-000055010000}"/>
    <cellStyle name="Normal 140" xfId="319" xr:uid="{00000000-0005-0000-0000-000056010000}"/>
    <cellStyle name="Normal 141" xfId="320" xr:uid="{00000000-0005-0000-0000-000057010000}"/>
    <cellStyle name="Normal 142" xfId="321" xr:uid="{00000000-0005-0000-0000-000058010000}"/>
    <cellStyle name="Normal 143" xfId="322" xr:uid="{00000000-0005-0000-0000-000059010000}"/>
    <cellStyle name="Normal 144" xfId="323" xr:uid="{00000000-0005-0000-0000-00005A010000}"/>
    <cellStyle name="Normal 145" xfId="324" xr:uid="{00000000-0005-0000-0000-00005B010000}"/>
    <cellStyle name="Normal 146" xfId="325" xr:uid="{00000000-0005-0000-0000-00005C010000}"/>
    <cellStyle name="Normal 147" xfId="440" xr:uid="{00000000-0005-0000-0000-00005D010000}"/>
    <cellStyle name="Normal 148" xfId="441" xr:uid="{00000000-0005-0000-0000-00005E010000}"/>
    <cellStyle name="Normal 149" xfId="442" xr:uid="{00000000-0005-0000-0000-00005F010000}"/>
    <cellStyle name="Normal 15" xfId="124" xr:uid="{00000000-0005-0000-0000-000060010000}"/>
    <cellStyle name="Normal 15 2" xfId="728" xr:uid="{00000000-0005-0000-0000-000061010000}"/>
    <cellStyle name="Normal 15 3" xfId="555" xr:uid="{00000000-0005-0000-0000-000062010000}"/>
    <cellStyle name="Normal 150" xfId="443" xr:uid="{00000000-0005-0000-0000-000063010000}"/>
    <cellStyle name="Normal 151" xfId="444" xr:uid="{00000000-0005-0000-0000-000064010000}"/>
    <cellStyle name="Normal 152" xfId="445" xr:uid="{00000000-0005-0000-0000-000065010000}"/>
    <cellStyle name="Normal 153" xfId="446" xr:uid="{00000000-0005-0000-0000-000066010000}"/>
    <cellStyle name="Normal 154" xfId="447" xr:uid="{00000000-0005-0000-0000-000067010000}"/>
    <cellStyle name="Normal 155" xfId="448" xr:uid="{00000000-0005-0000-0000-000068010000}"/>
    <cellStyle name="Normal 156" xfId="449" xr:uid="{00000000-0005-0000-0000-000069010000}"/>
    <cellStyle name="Normal 157" xfId="450" xr:uid="{00000000-0005-0000-0000-00006A010000}"/>
    <cellStyle name="Normal 158" xfId="451" xr:uid="{00000000-0005-0000-0000-00006B010000}"/>
    <cellStyle name="Normal 159" xfId="452" xr:uid="{00000000-0005-0000-0000-00006C010000}"/>
    <cellStyle name="Normal 16" xfId="125" xr:uid="{00000000-0005-0000-0000-00006D010000}"/>
    <cellStyle name="Normal 16 2" xfId="729" xr:uid="{00000000-0005-0000-0000-00006E010000}"/>
    <cellStyle name="Normal 16 3" xfId="556" xr:uid="{00000000-0005-0000-0000-00006F010000}"/>
    <cellStyle name="Normal 160" xfId="453" xr:uid="{00000000-0005-0000-0000-000070010000}"/>
    <cellStyle name="Normal 161" xfId="454" xr:uid="{00000000-0005-0000-0000-000071010000}"/>
    <cellStyle name="Normal 162" xfId="455" xr:uid="{00000000-0005-0000-0000-000072010000}"/>
    <cellStyle name="Normal 163" xfId="456" xr:uid="{00000000-0005-0000-0000-000073010000}"/>
    <cellStyle name="Normal 164" xfId="457" xr:uid="{00000000-0005-0000-0000-000074010000}"/>
    <cellStyle name="Normal 165" xfId="458" xr:uid="{00000000-0005-0000-0000-000075010000}"/>
    <cellStyle name="Normal 166" xfId="459" xr:uid="{00000000-0005-0000-0000-000076010000}"/>
    <cellStyle name="Normal 167" xfId="460" xr:uid="{00000000-0005-0000-0000-000077010000}"/>
    <cellStyle name="Normal 168" xfId="461" xr:uid="{00000000-0005-0000-0000-000078010000}"/>
    <cellStyle name="Normal 169" xfId="462" xr:uid="{00000000-0005-0000-0000-000079010000}"/>
    <cellStyle name="Normal 17" xfId="126" xr:uid="{00000000-0005-0000-0000-00007A010000}"/>
    <cellStyle name="Normal 17 2" xfId="730" xr:uid="{00000000-0005-0000-0000-00007B010000}"/>
    <cellStyle name="Normal 17 3" xfId="557" xr:uid="{00000000-0005-0000-0000-00007C010000}"/>
    <cellStyle name="Normal 170" xfId="463" xr:uid="{00000000-0005-0000-0000-00007D010000}"/>
    <cellStyle name="Normal 171" xfId="464" xr:uid="{00000000-0005-0000-0000-00007E010000}"/>
    <cellStyle name="Normal 172" xfId="465" xr:uid="{00000000-0005-0000-0000-00007F010000}"/>
    <cellStyle name="Normal 173" xfId="466" xr:uid="{00000000-0005-0000-0000-000080010000}"/>
    <cellStyle name="Normal 174" xfId="467" xr:uid="{00000000-0005-0000-0000-000081010000}"/>
    <cellStyle name="Normal 175" xfId="468" xr:uid="{00000000-0005-0000-0000-000082010000}"/>
    <cellStyle name="Normal 176" xfId="469" xr:uid="{00000000-0005-0000-0000-000083010000}"/>
    <cellStyle name="Normal 177" xfId="470" xr:uid="{00000000-0005-0000-0000-000084010000}"/>
    <cellStyle name="Normal 178" xfId="471" xr:uid="{00000000-0005-0000-0000-000085010000}"/>
    <cellStyle name="Normal 179" xfId="472" xr:uid="{00000000-0005-0000-0000-000086010000}"/>
    <cellStyle name="Normal 18" xfId="127" xr:uid="{00000000-0005-0000-0000-000087010000}"/>
    <cellStyle name="Normal 18 2" xfId="731" xr:uid="{00000000-0005-0000-0000-000088010000}"/>
    <cellStyle name="Normal 18 3" xfId="558" xr:uid="{00000000-0005-0000-0000-000089010000}"/>
    <cellStyle name="Normal 180" xfId="473" xr:uid="{00000000-0005-0000-0000-00008A010000}"/>
    <cellStyle name="Normal 181" xfId="474" xr:uid="{00000000-0005-0000-0000-00008B010000}"/>
    <cellStyle name="Normal 182" xfId="475" xr:uid="{00000000-0005-0000-0000-00008C010000}"/>
    <cellStyle name="Normal 183" xfId="476" xr:uid="{00000000-0005-0000-0000-00008D010000}"/>
    <cellStyle name="Normal 184" xfId="477" xr:uid="{00000000-0005-0000-0000-00008E010000}"/>
    <cellStyle name="Normal 185" xfId="478" xr:uid="{00000000-0005-0000-0000-00008F010000}"/>
    <cellStyle name="Normal 186" xfId="479" xr:uid="{00000000-0005-0000-0000-000090010000}"/>
    <cellStyle name="Normal 187" xfId="480" xr:uid="{00000000-0005-0000-0000-000091010000}"/>
    <cellStyle name="Normal 188" xfId="481" xr:uid="{00000000-0005-0000-0000-000092010000}"/>
    <cellStyle name="Normal 189" xfId="482" xr:uid="{00000000-0005-0000-0000-000093010000}"/>
    <cellStyle name="Normal 19" xfId="128" xr:uid="{00000000-0005-0000-0000-000094010000}"/>
    <cellStyle name="Normal 19 2" xfId="732" xr:uid="{00000000-0005-0000-0000-000095010000}"/>
    <cellStyle name="Normal 19 3" xfId="559" xr:uid="{00000000-0005-0000-0000-000096010000}"/>
    <cellStyle name="Normal 190" xfId="483" xr:uid="{00000000-0005-0000-0000-000097010000}"/>
    <cellStyle name="Normal 191" xfId="484" xr:uid="{00000000-0005-0000-0000-000098010000}"/>
    <cellStyle name="Normal 192" xfId="485" xr:uid="{00000000-0005-0000-0000-000099010000}"/>
    <cellStyle name="Normal 193" xfId="486" xr:uid="{00000000-0005-0000-0000-00009A010000}"/>
    <cellStyle name="Normal 194" xfId="487" xr:uid="{00000000-0005-0000-0000-00009B010000}"/>
    <cellStyle name="Normal 195" xfId="488" xr:uid="{00000000-0005-0000-0000-00009C010000}"/>
    <cellStyle name="Normal 196" xfId="489" xr:uid="{00000000-0005-0000-0000-00009D010000}"/>
    <cellStyle name="Normal 197" xfId="490" xr:uid="{00000000-0005-0000-0000-00009E010000}"/>
    <cellStyle name="Normal 198" xfId="491" xr:uid="{00000000-0005-0000-0000-00009F010000}"/>
    <cellStyle name="Normal 199" xfId="492" xr:uid="{00000000-0005-0000-0000-0000A0010000}"/>
    <cellStyle name="Normal 2" xfId="129" xr:uid="{00000000-0005-0000-0000-0000A1010000}"/>
    <cellStyle name="Normal 2 2" xfId="356" xr:uid="{00000000-0005-0000-0000-0000A2010000}"/>
    <cellStyle name="Normal 2 3" xfId="355" xr:uid="{00000000-0005-0000-0000-0000A3010000}"/>
    <cellStyle name="Normal 2 4" xfId="560" xr:uid="{00000000-0005-0000-0000-0000A4010000}"/>
    <cellStyle name="Normal 2 5" xfId="721" xr:uid="{00000000-0005-0000-0000-0000A5010000}"/>
    <cellStyle name="Normal 2 6" xfId="544" xr:uid="{00000000-0005-0000-0000-0000A6010000}"/>
    <cellStyle name="Normal 2_2012-2014 Yield &amp; MFTP Forecast (CL Dept) v3" xfId="357" xr:uid="{00000000-0005-0000-0000-0000A7010000}"/>
    <cellStyle name="Normal 20" xfId="130" xr:uid="{00000000-0005-0000-0000-0000A8010000}"/>
    <cellStyle name="Normal 20 2" xfId="733" xr:uid="{00000000-0005-0000-0000-0000A9010000}"/>
    <cellStyle name="Normal 20 3" xfId="561" xr:uid="{00000000-0005-0000-0000-0000AA010000}"/>
    <cellStyle name="Normal 200" xfId="493" xr:uid="{00000000-0005-0000-0000-0000AB010000}"/>
    <cellStyle name="Normal 201" xfId="494" xr:uid="{00000000-0005-0000-0000-0000AC010000}"/>
    <cellStyle name="Normal 202" xfId="495" xr:uid="{00000000-0005-0000-0000-0000AD010000}"/>
    <cellStyle name="Normal 203" xfId="496" xr:uid="{00000000-0005-0000-0000-0000AE010000}"/>
    <cellStyle name="Normal 204" xfId="497" xr:uid="{00000000-0005-0000-0000-0000AF010000}"/>
    <cellStyle name="Normal 205" xfId="498" xr:uid="{00000000-0005-0000-0000-0000B0010000}"/>
    <cellStyle name="Normal 206" xfId="499" xr:uid="{00000000-0005-0000-0000-0000B1010000}"/>
    <cellStyle name="Normal 207" xfId="500" xr:uid="{00000000-0005-0000-0000-0000B2010000}"/>
    <cellStyle name="Normal 208" xfId="501" xr:uid="{00000000-0005-0000-0000-0000B3010000}"/>
    <cellStyle name="Normal 209" xfId="502" xr:uid="{00000000-0005-0000-0000-0000B4010000}"/>
    <cellStyle name="Normal 21" xfId="131" xr:uid="{00000000-0005-0000-0000-0000B5010000}"/>
    <cellStyle name="Normal 21 2" xfId="734" xr:uid="{00000000-0005-0000-0000-0000B6010000}"/>
    <cellStyle name="Normal 21 3" xfId="562" xr:uid="{00000000-0005-0000-0000-0000B7010000}"/>
    <cellStyle name="Normal 210" xfId="503" xr:uid="{00000000-0005-0000-0000-0000B8010000}"/>
    <cellStyle name="Normal 211" xfId="504" xr:uid="{00000000-0005-0000-0000-0000B9010000}"/>
    <cellStyle name="Normal 212" xfId="505" xr:uid="{00000000-0005-0000-0000-0000BA010000}"/>
    <cellStyle name="Normal 213" xfId="506" xr:uid="{00000000-0005-0000-0000-0000BB010000}"/>
    <cellStyle name="Normal 213 2" xfId="866" xr:uid="{00000000-0005-0000-0000-0000BC010000}"/>
    <cellStyle name="Normal 213 3" xfId="694" xr:uid="{00000000-0005-0000-0000-0000BD010000}"/>
    <cellStyle name="Normal 214" xfId="509" xr:uid="{00000000-0005-0000-0000-0000BE010000}"/>
    <cellStyle name="Normal 214 2" xfId="869" xr:uid="{00000000-0005-0000-0000-0000BF010000}"/>
    <cellStyle name="Normal 214 3" xfId="697" xr:uid="{00000000-0005-0000-0000-0000C0010000}"/>
    <cellStyle name="Normal 215" xfId="512" xr:uid="{00000000-0005-0000-0000-0000C1010000}"/>
    <cellStyle name="Normal 215 2" xfId="872" xr:uid="{00000000-0005-0000-0000-0000C2010000}"/>
    <cellStyle name="Normal 215 3" xfId="700" xr:uid="{00000000-0005-0000-0000-0000C3010000}"/>
    <cellStyle name="Normal 216" xfId="515" xr:uid="{00000000-0005-0000-0000-0000C4010000}"/>
    <cellStyle name="Normal 217" xfId="518" xr:uid="{00000000-0005-0000-0000-0000C5010000}"/>
    <cellStyle name="Normal 218" xfId="519" xr:uid="{00000000-0005-0000-0000-0000C6010000}"/>
    <cellStyle name="Normal 219" xfId="524" xr:uid="{00000000-0005-0000-0000-0000C7010000}"/>
    <cellStyle name="Normal 22" xfId="132" xr:uid="{00000000-0005-0000-0000-0000C8010000}"/>
    <cellStyle name="Normal 22 2" xfId="735" xr:uid="{00000000-0005-0000-0000-0000C9010000}"/>
    <cellStyle name="Normal 22 3" xfId="563" xr:uid="{00000000-0005-0000-0000-0000CA010000}"/>
    <cellStyle name="Normal 220" xfId="525" xr:uid="{00000000-0005-0000-0000-0000CB010000}"/>
    <cellStyle name="Normal 221" xfId="526" xr:uid="{00000000-0005-0000-0000-0000CC010000}"/>
    <cellStyle name="Normal 222" xfId="529" xr:uid="{00000000-0005-0000-0000-0000CD010000}"/>
    <cellStyle name="Normal 223" xfId="531" xr:uid="{00000000-0005-0000-0000-0000CE010000}"/>
    <cellStyle name="Normal 224" xfId="533" xr:uid="{00000000-0005-0000-0000-0000CF010000}"/>
    <cellStyle name="Normal 225" xfId="535" xr:uid="{00000000-0005-0000-0000-0000D0010000}"/>
    <cellStyle name="Normal 225 2" xfId="546" xr:uid="{00000000-0005-0000-0000-0000D1010000}"/>
    <cellStyle name="Normal 226" xfId="537" xr:uid="{00000000-0005-0000-0000-0000D2010000}"/>
    <cellStyle name="Normal 226 2" xfId="703" xr:uid="{00000000-0005-0000-0000-0000D3010000}"/>
    <cellStyle name="Normal 227" xfId="539" xr:uid="{00000000-0005-0000-0000-0000D4010000}"/>
    <cellStyle name="Normal 227 2" xfId="705" xr:uid="{00000000-0005-0000-0000-0000D5010000}"/>
    <cellStyle name="Normal 228" xfId="707" xr:uid="{00000000-0005-0000-0000-0000D6010000}"/>
    <cellStyle name="Normal 229" xfId="709" xr:uid="{00000000-0005-0000-0000-0000D7010000}"/>
    <cellStyle name="Normal 23" xfId="133" xr:uid="{00000000-0005-0000-0000-0000D8010000}"/>
    <cellStyle name="Normal 23 2" xfId="736" xr:uid="{00000000-0005-0000-0000-0000D9010000}"/>
    <cellStyle name="Normal 23 3" xfId="564" xr:uid="{00000000-0005-0000-0000-0000DA010000}"/>
    <cellStyle name="Normal 230" xfId="718" xr:uid="{00000000-0005-0000-0000-0000DB010000}"/>
    <cellStyle name="Normal 230 2" xfId="930" xr:uid="{00000000-0005-0000-0000-0000DC010000}"/>
    <cellStyle name="Normal 230 2 2" xfId="959" xr:uid="{00000000-0005-0000-0000-0000DD010000}"/>
    <cellStyle name="Normal 230 2 3" xfId="988" xr:uid="{00000000-0005-0000-0000-0000DE010000}"/>
    <cellStyle name="Normal 230 3" xfId="941" xr:uid="{00000000-0005-0000-0000-0000DF010000}"/>
    <cellStyle name="Normal 230 4" xfId="970" xr:uid="{00000000-0005-0000-0000-0000E0010000}"/>
    <cellStyle name="Normal 231" xfId="860" xr:uid="{00000000-0005-0000-0000-0000E1010000}"/>
    <cellStyle name="Normal 232" xfId="711" xr:uid="{00000000-0005-0000-0000-0000E2010000}"/>
    <cellStyle name="Normal 233" xfId="715" xr:uid="{00000000-0005-0000-0000-0000E3010000}"/>
    <cellStyle name="Normal 234" xfId="717" xr:uid="{00000000-0005-0000-0000-0000E4010000}"/>
    <cellStyle name="Normal 235" xfId="712" xr:uid="{00000000-0005-0000-0000-0000E5010000}"/>
    <cellStyle name="Normal 236" xfId="876" xr:uid="{00000000-0005-0000-0000-0000E6010000}"/>
    <cellStyle name="Normal 237" xfId="877" xr:uid="{00000000-0005-0000-0000-0000E7010000}"/>
    <cellStyle name="Normal 238" xfId="541" xr:uid="{00000000-0005-0000-0000-0000E8010000}"/>
    <cellStyle name="Normal 238 2" xfId="927" xr:uid="{00000000-0005-0000-0000-0000E9010000}"/>
    <cellStyle name="Normal 238 2 2" xfId="956" xr:uid="{00000000-0005-0000-0000-0000EA010000}"/>
    <cellStyle name="Normal 238 2 3" xfId="985" xr:uid="{00000000-0005-0000-0000-0000EB010000}"/>
    <cellStyle name="Normal 238 3" xfId="938" xr:uid="{00000000-0005-0000-0000-0000EC010000}"/>
    <cellStyle name="Normal 238 4" xfId="967" xr:uid="{00000000-0005-0000-0000-0000ED010000}"/>
    <cellStyle name="Normal 239" xfId="920" xr:uid="{00000000-0005-0000-0000-0000EE010000}"/>
    <cellStyle name="Normal 239 2" xfId="933" xr:uid="{00000000-0005-0000-0000-0000EF010000}"/>
    <cellStyle name="Normal 239 2 2" xfId="962" xr:uid="{00000000-0005-0000-0000-0000F0010000}"/>
    <cellStyle name="Normal 239 2 3" xfId="991" xr:uid="{00000000-0005-0000-0000-0000F1010000}"/>
    <cellStyle name="Normal 24" xfId="134" xr:uid="{00000000-0005-0000-0000-0000F2010000}"/>
    <cellStyle name="Normal 24 2" xfId="737" xr:uid="{00000000-0005-0000-0000-0000F3010000}"/>
    <cellStyle name="Normal 24 3" xfId="565" xr:uid="{00000000-0005-0000-0000-0000F4010000}"/>
    <cellStyle name="Normal 240" xfId="923" xr:uid="{00000000-0005-0000-0000-0000F5010000}"/>
    <cellStyle name="Normal 241" xfId="926" xr:uid="{00000000-0005-0000-0000-0000F6010000}"/>
    <cellStyle name="Normal 242" xfId="937" xr:uid="{00000000-0005-0000-0000-0000F7010000}"/>
    <cellStyle name="Normal 243" xfId="966" xr:uid="{00000000-0005-0000-0000-0000F8010000}"/>
    <cellStyle name="Normal 25" xfId="135" xr:uid="{00000000-0005-0000-0000-0000F9010000}"/>
    <cellStyle name="Normal 25 2" xfId="738" xr:uid="{00000000-0005-0000-0000-0000FA010000}"/>
    <cellStyle name="Normal 25 3" xfId="566" xr:uid="{00000000-0005-0000-0000-0000FB010000}"/>
    <cellStyle name="Normal 26" xfId="136" xr:uid="{00000000-0005-0000-0000-0000FC010000}"/>
    <cellStyle name="Normal 26 2" xfId="739" xr:uid="{00000000-0005-0000-0000-0000FD010000}"/>
    <cellStyle name="Normal 26 3" xfId="567" xr:uid="{00000000-0005-0000-0000-0000FE010000}"/>
    <cellStyle name="Normal 27" xfId="137" xr:uid="{00000000-0005-0000-0000-0000FF010000}"/>
    <cellStyle name="Normal 27 2" xfId="740" xr:uid="{00000000-0005-0000-0000-000000020000}"/>
    <cellStyle name="Normal 27 3" xfId="568" xr:uid="{00000000-0005-0000-0000-000001020000}"/>
    <cellStyle name="Normal 28" xfId="138" xr:uid="{00000000-0005-0000-0000-000002020000}"/>
    <cellStyle name="Normal 28 2" xfId="741" xr:uid="{00000000-0005-0000-0000-000003020000}"/>
    <cellStyle name="Normal 28 3" xfId="569" xr:uid="{00000000-0005-0000-0000-000004020000}"/>
    <cellStyle name="Normal 29" xfId="139" xr:uid="{00000000-0005-0000-0000-000005020000}"/>
    <cellStyle name="Normal 29 2" xfId="742" xr:uid="{00000000-0005-0000-0000-000006020000}"/>
    <cellStyle name="Normal 29 3" xfId="570" xr:uid="{00000000-0005-0000-0000-000007020000}"/>
    <cellStyle name="Normal 3" xfId="140" xr:uid="{00000000-0005-0000-0000-000008020000}"/>
    <cellStyle name="Normal 3 2" xfId="359" xr:uid="{00000000-0005-0000-0000-000009020000}"/>
    <cellStyle name="Normal 3 3" xfId="358" xr:uid="{00000000-0005-0000-0000-00000A020000}"/>
    <cellStyle name="Normal 3_2012-2014 Yield &amp; MFTP Forecast (CL Dept) v3" xfId="360" xr:uid="{00000000-0005-0000-0000-00000B020000}"/>
    <cellStyle name="Normal 30" xfId="141" xr:uid="{00000000-0005-0000-0000-00000C020000}"/>
    <cellStyle name="Normal 30 2" xfId="743" xr:uid="{00000000-0005-0000-0000-00000D020000}"/>
    <cellStyle name="Normal 30 3" xfId="571" xr:uid="{00000000-0005-0000-0000-00000E020000}"/>
    <cellStyle name="Normal 31" xfId="142" xr:uid="{00000000-0005-0000-0000-00000F020000}"/>
    <cellStyle name="Normal 31 2" xfId="744" xr:uid="{00000000-0005-0000-0000-000010020000}"/>
    <cellStyle name="Normal 31 3" xfId="572" xr:uid="{00000000-0005-0000-0000-000011020000}"/>
    <cellStyle name="Normal 32" xfId="143" xr:uid="{00000000-0005-0000-0000-000012020000}"/>
    <cellStyle name="Normal 32 2" xfId="745" xr:uid="{00000000-0005-0000-0000-000013020000}"/>
    <cellStyle name="Normal 32 3" xfId="573" xr:uid="{00000000-0005-0000-0000-000014020000}"/>
    <cellStyle name="Normal 33" xfId="144" xr:uid="{00000000-0005-0000-0000-000015020000}"/>
    <cellStyle name="Normal 33 2" xfId="746" xr:uid="{00000000-0005-0000-0000-000016020000}"/>
    <cellStyle name="Normal 33 3" xfId="574" xr:uid="{00000000-0005-0000-0000-000017020000}"/>
    <cellStyle name="Normal 34" xfId="145" xr:uid="{00000000-0005-0000-0000-000018020000}"/>
    <cellStyle name="Normal 34 2" xfId="747" xr:uid="{00000000-0005-0000-0000-000019020000}"/>
    <cellStyle name="Normal 34 3" xfId="575" xr:uid="{00000000-0005-0000-0000-00001A020000}"/>
    <cellStyle name="Normal 35" xfId="146" xr:uid="{00000000-0005-0000-0000-00001B020000}"/>
    <cellStyle name="Normal 35 2" xfId="748" xr:uid="{00000000-0005-0000-0000-00001C020000}"/>
    <cellStyle name="Normal 35 3" xfId="576" xr:uid="{00000000-0005-0000-0000-00001D020000}"/>
    <cellStyle name="Normal 36" xfId="147" xr:uid="{00000000-0005-0000-0000-00001E020000}"/>
    <cellStyle name="Normal 36 2" xfId="749" xr:uid="{00000000-0005-0000-0000-00001F020000}"/>
    <cellStyle name="Normal 36 3" xfId="577" xr:uid="{00000000-0005-0000-0000-000020020000}"/>
    <cellStyle name="Normal 37" xfId="148" xr:uid="{00000000-0005-0000-0000-000021020000}"/>
    <cellStyle name="Normal 37 2" xfId="750" xr:uid="{00000000-0005-0000-0000-000022020000}"/>
    <cellStyle name="Normal 37 3" xfId="578" xr:uid="{00000000-0005-0000-0000-000023020000}"/>
    <cellStyle name="Normal 38" xfId="149" xr:uid="{00000000-0005-0000-0000-000024020000}"/>
    <cellStyle name="Normal 38 2" xfId="751" xr:uid="{00000000-0005-0000-0000-000025020000}"/>
    <cellStyle name="Normal 38 3" xfId="579" xr:uid="{00000000-0005-0000-0000-000026020000}"/>
    <cellStyle name="Normal 39" xfId="150" xr:uid="{00000000-0005-0000-0000-000027020000}"/>
    <cellStyle name="Normal 39 2" xfId="752" xr:uid="{00000000-0005-0000-0000-000028020000}"/>
    <cellStyle name="Normal 39 3" xfId="580" xr:uid="{00000000-0005-0000-0000-000029020000}"/>
    <cellStyle name="Normal 4" xfId="151" xr:uid="{00000000-0005-0000-0000-00002A020000}"/>
    <cellStyle name="Normal 4 2" xfId="361" xr:uid="{00000000-0005-0000-0000-00002B020000}"/>
    <cellStyle name="Normal 4 3" xfId="753" xr:uid="{00000000-0005-0000-0000-00002C020000}"/>
    <cellStyle name="Normal 4 4" xfId="581" xr:uid="{00000000-0005-0000-0000-00002D020000}"/>
    <cellStyle name="Normal 40" xfId="152" xr:uid="{00000000-0005-0000-0000-00002E020000}"/>
    <cellStyle name="Normal 40 2" xfId="754" xr:uid="{00000000-0005-0000-0000-00002F020000}"/>
    <cellStyle name="Normal 40 3" xfId="582" xr:uid="{00000000-0005-0000-0000-000030020000}"/>
    <cellStyle name="Normal 41" xfId="153" xr:uid="{00000000-0005-0000-0000-000031020000}"/>
    <cellStyle name="Normal 41 2" xfId="755" xr:uid="{00000000-0005-0000-0000-000032020000}"/>
    <cellStyle name="Normal 41 3" xfId="583" xr:uid="{00000000-0005-0000-0000-000033020000}"/>
    <cellStyle name="Normal 42" xfId="154" xr:uid="{00000000-0005-0000-0000-000034020000}"/>
    <cellStyle name="Normal 42 2" xfId="756" xr:uid="{00000000-0005-0000-0000-000035020000}"/>
    <cellStyle name="Normal 42 3" xfId="584" xr:uid="{00000000-0005-0000-0000-000036020000}"/>
    <cellStyle name="Normal 43" xfId="155" xr:uid="{00000000-0005-0000-0000-000037020000}"/>
    <cellStyle name="Normal 43 2" xfId="757" xr:uid="{00000000-0005-0000-0000-000038020000}"/>
    <cellStyle name="Normal 43 3" xfId="585" xr:uid="{00000000-0005-0000-0000-000039020000}"/>
    <cellStyle name="Normal 44" xfId="156" xr:uid="{00000000-0005-0000-0000-00003A020000}"/>
    <cellStyle name="Normal 44 2" xfId="758" xr:uid="{00000000-0005-0000-0000-00003B020000}"/>
    <cellStyle name="Normal 44 3" xfId="586" xr:uid="{00000000-0005-0000-0000-00003C020000}"/>
    <cellStyle name="Normal 45" xfId="157" xr:uid="{00000000-0005-0000-0000-00003D020000}"/>
    <cellStyle name="Normal 45 2" xfId="759" xr:uid="{00000000-0005-0000-0000-00003E020000}"/>
    <cellStyle name="Normal 45 3" xfId="587" xr:uid="{00000000-0005-0000-0000-00003F020000}"/>
    <cellStyle name="Normal 46" xfId="158" xr:uid="{00000000-0005-0000-0000-000040020000}"/>
    <cellStyle name="Normal 46 2" xfId="760" xr:uid="{00000000-0005-0000-0000-000041020000}"/>
    <cellStyle name="Normal 46 3" xfId="588" xr:uid="{00000000-0005-0000-0000-000042020000}"/>
    <cellStyle name="Normal 47" xfId="159" xr:uid="{00000000-0005-0000-0000-000043020000}"/>
    <cellStyle name="Normal 47 2" xfId="761" xr:uid="{00000000-0005-0000-0000-000044020000}"/>
    <cellStyle name="Normal 47 3" xfId="589" xr:uid="{00000000-0005-0000-0000-000045020000}"/>
    <cellStyle name="Normal 48" xfId="160" xr:uid="{00000000-0005-0000-0000-000046020000}"/>
    <cellStyle name="Normal 48 2" xfId="762" xr:uid="{00000000-0005-0000-0000-000047020000}"/>
    <cellStyle name="Normal 48 3" xfId="590" xr:uid="{00000000-0005-0000-0000-000048020000}"/>
    <cellStyle name="Normal 49" xfId="161" xr:uid="{00000000-0005-0000-0000-000049020000}"/>
    <cellStyle name="Normal 49 2" xfId="763" xr:uid="{00000000-0005-0000-0000-00004A020000}"/>
    <cellStyle name="Normal 49 3" xfId="591" xr:uid="{00000000-0005-0000-0000-00004B020000}"/>
    <cellStyle name="Normal 5" xfId="162" xr:uid="{00000000-0005-0000-0000-00004C020000}"/>
    <cellStyle name="Normal 5 2" xfId="362" xr:uid="{00000000-0005-0000-0000-00004D020000}"/>
    <cellStyle name="Normal 50" xfId="163" xr:uid="{00000000-0005-0000-0000-00004E020000}"/>
    <cellStyle name="Normal 50 2" xfId="764" xr:uid="{00000000-0005-0000-0000-00004F020000}"/>
    <cellStyle name="Normal 50 3" xfId="592" xr:uid="{00000000-0005-0000-0000-000050020000}"/>
    <cellStyle name="Normal 51" xfId="164" xr:uid="{00000000-0005-0000-0000-000051020000}"/>
    <cellStyle name="Normal 51 2" xfId="765" xr:uid="{00000000-0005-0000-0000-000052020000}"/>
    <cellStyle name="Normal 51 3" xfId="593" xr:uid="{00000000-0005-0000-0000-000053020000}"/>
    <cellStyle name="Normal 52" xfId="165" xr:uid="{00000000-0005-0000-0000-000054020000}"/>
    <cellStyle name="Normal 52 2" xfId="766" xr:uid="{00000000-0005-0000-0000-000055020000}"/>
    <cellStyle name="Normal 52 3" xfId="594" xr:uid="{00000000-0005-0000-0000-000056020000}"/>
    <cellStyle name="Normal 53" xfId="166" xr:uid="{00000000-0005-0000-0000-000057020000}"/>
    <cellStyle name="Normal 53 2" xfId="767" xr:uid="{00000000-0005-0000-0000-000058020000}"/>
    <cellStyle name="Normal 53 3" xfId="595" xr:uid="{00000000-0005-0000-0000-000059020000}"/>
    <cellStyle name="Normal 54" xfId="167" xr:uid="{00000000-0005-0000-0000-00005A020000}"/>
    <cellStyle name="Normal 54 2" xfId="768" xr:uid="{00000000-0005-0000-0000-00005B020000}"/>
    <cellStyle name="Normal 54 3" xfId="596" xr:uid="{00000000-0005-0000-0000-00005C020000}"/>
    <cellStyle name="Normal 55" xfId="168" xr:uid="{00000000-0005-0000-0000-00005D020000}"/>
    <cellStyle name="Normal 55 2" xfId="769" xr:uid="{00000000-0005-0000-0000-00005E020000}"/>
    <cellStyle name="Normal 55 3" xfId="597" xr:uid="{00000000-0005-0000-0000-00005F020000}"/>
    <cellStyle name="Normal 56" xfId="169" xr:uid="{00000000-0005-0000-0000-000060020000}"/>
    <cellStyle name="Normal 56 2" xfId="770" xr:uid="{00000000-0005-0000-0000-000061020000}"/>
    <cellStyle name="Normal 56 3" xfId="598" xr:uid="{00000000-0005-0000-0000-000062020000}"/>
    <cellStyle name="Normal 57" xfId="170" xr:uid="{00000000-0005-0000-0000-000063020000}"/>
    <cellStyle name="Normal 57 2" xfId="771" xr:uid="{00000000-0005-0000-0000-000064020000}"/>
    <cellStyle name="Normal 57 3" xfId="599" xr:uid="{00000000-0005-0000-0000-000065020000}"/>
    <cellStyle name="Normal 58" xfId="171" xr:uid="{00000000-0005-0000-0000-000066020000}"/>
    <cellStyle name="Normal 58 2" xfId="772" xr:uid="{00000000-0005-0000-0000-000067020000}"/>
    <cellStyle name="Normal 58 3" xfId="600" xr:uid="{00000000-0005-0000-0000-000068020000}"/>
    <cellStyle name="Normal 59" xfId="172" xr:uid="{00000000-0005-0000-0000-000069020000}"/>
    <cellStyle name="Normal 59 2" xfId="773" xr:uid="{00000000-0005-0000-0000-00006A020000}"/>
    <cellStyle name="Normal 59 3" xfId="601" xr:uid="{00000000-0005-0000-0000-00006B020000}"/>
    <cellStyle name="Normal 6" xfId="173" xr:uid="{00000000-0005-0000-0000-00006C020000}"/>
    <cellStyle name="Normal 6 2" xfId="363" xr:uid="{00000000-0005-0000-0000-00006D020000}"/>
    <cellStyle name="Normal 6 3" xfId="774" xr:uid="{00000000-0005-0000-0000-00006E020000}"/>
    <cellStyle name="Normal 6 4" xfId="602" xr:uid="{00000000-0005-0000-0000-00006F020000}"/>
    <cellStyle name="Normal 60" xfId="174" xr:uid="{00000000-0005-0000-0000-000070020000}"/>
    <cellStyle name="Normal 60 2" xfId="775" xr:uid="{00000000-0005-0000-0000-000071020000}"/>
    <cellStyle name="Normal 60 3" xfId="603" xr:uid="{00000000-0005-0000-0000-000072020000}"/>
    <cellStyle name="Normal 61" xfId="175" xr:uid="{00000000-0005-0000-0000-000073020000}"/>
    <cellStyle name="Normal 61 2" xfId="776" xr:uid="{00000000-0005-0000-0000-000074020000}"/>
    <cellStyle name="Normal 61 3" xfId="604" xr:uid="{00000000-0005-0000-0000-000075020000}"/>
    <cellStyle name="Normal 62" xfId="176" xr:uid="{00000000-0005-0000-0000-000076020000}"/>
    <cellStyle name="Normal 62 2" xfId="777" xr:uid="{00000000-0005-0000-0000-000077020000}"/>
    <cellStyle name="Normal 62 3" xfId="605" xr:uid="{00000000-0005-0000-0000-000078020000}"/>
    <cellStyle name="Normal 63" xfId="177" xr:uid="{00000000-0005-0000-0000-000079020000}"/>
    <cellStyle name="Normal 63 2" xfId="778" xr:uid="{00000000-0005-0000-0000-00007A020000}"/>
    <cellStyle name="Normal 63 3" xfId="606" xr:uid="{00000000-0005-0000-0000-00007B020000}"/>
    <cellStyle name="Normal 64" xfId="178" xr:uid="{00000000-0005-0000-0000-00007C020000}"/>
    <cellStyle name="Normal 64 2" xfId="779" xr:uid="{00000000-0005-0000-0000-00007D020000}"/>
    <cellStyle name="Normal 64 3" xfId="607" xr:uid="{00000000-0005-0000-0000-00007E020000}"/>
    <cellStyle name="Normal 65" xfId="179" xr:uid="{00000000-0005-0000-0000-00007F020000}"/>
    <cellStyle name="Normal 65 2" xfId="780" xr:uid="{00000000-0005-0000-0000-000080020000}"/>
    <cellStyle name="Normal 65 3" xfId="608" xr:uid="{00000000-0005-0000-0000-000081020000}"/>
    <cellStyle name="Normal 66" xfId="180" xr:uid="{00000000-0005-0000-0000-000082020000}"/>
    <cellStyle name="Normal 66 2" xfId="781" xr:uid="{00000000-0005-0000-0000-000083020000}"/>
    <cellStyle name="Normal 66 3" xfId="609" xr:uid="{00000000-0005-0000-0000-000084020000}"/>
    <cellStyle name="Normal 67" xfId="181" xr:uid="{00000000-0005-0000-0000-000085020000}"/>
    <cellStyle name="Normal 67 2" xfId="782" xr:uid="{00000000-0005-0000-0000-000086020000}"/>
    <cellStyle name="Normal 67 3" xfId="610" xr:uid="{00000000-0005-0000-0000-000087020000}"/>
    <cellStyle name="Normal 68" xfId="182" xr:uid="{00000000-0005-0000-0000-000088020000}"/>
    <cellStyle name="Normal 68 2" xfId="783" xr:uid="{00000000-0005-0000-0000-000089020000}"/>
    <cellStyle name="Normal 68 3" xfId="611" xr:uid="{00000000-0005-0000-0000-00008A020000}"/>
    <cellStyle name="Normal 69" xfId="183" xr:uid="{00000000-0005-0000-0000-00008B020000}"/>
    <cellStyle name="Normal 69 2" xfId="784" xr:uid="{00000000-0005-0000-0000-00008C020000}"/>
    <cellStyle name="Normal 69 3" xfId="612" xr:uid="{00000000-0005-0000-0000-00008D020000}"/>
    <cellStyle name="Normal 7" xfId="184" xr:uid="{00000000-0005-0000-0000-00008E020000}"/>
    <cellStyle name="Normal 7 2" xfId="364" xr:uid="{00000000-0005-0000-0000-00008F020000}"/>
    <cellStyle name="Normal 7 3" xfId="785" xr:uid="{00000000-0005-0000-0000-000090020000}"/>
    <cellStyle name="Normal 7 4" xfId="613" xr:uid="{00000000-0005-0000-0000-000091020000}"/>
    <cellStyle name="Normal 70" xfId="185" xr:uid="{00000000-0005-0000-0000-000092020000}"/>
    <cellStyle name="Normal 70 2" xfId="786" xr:uid="{00000000-0005-0000-0000-000093020000}"/>
    <cellStyle name="Normal 70 3" xfId="614" xr:uid="{00000000-0005-0000-0000-000094020000}"/>
    <cellStyle name="Normal 71" xfId="186" xr:uid="{00000000-0005-0000-0000-000095020000}"/>
    <cellStyle name="Normal 71 2" xfId="787" xr:uid="{00000000-0005-0000-0000-000096020000}"/>
    <cellStyle name="Normal 71 3" xfId="615" xr:uid="{00000000-0005-0000-0000-000097020000}"/>
    <cellStyle name="Normal 72" xfId="187" xr:uid="{00000000-0005-0000-0000-000098020000}"/>
    <cellStyle name="Normal 72 2" xfId="788" xr:uid="{00000000-0005-0000-0000-000099020000}"/>
    <cellStyle name="Normal 72 3" xfId="616" xr:uid="{00000000-0005-0000-0000-00009A020000}"/>
    <cellStyle name="Normal 73" xfId="326" xr:uid="{00000000-0005-0000-0000-00009B020000}"/>
    <cellStyle name="Normal 73 2" xfId="861" xr:uid="{00000000-0005-0000-0000-00009C020000}"/>
    <cellStyle name="Normal 73 3" xfId="688" xr:uid="{00000000-0005-0000-0000-00009D020000}"/>
    <cellStyle name="Normal 74" xfId="372" xr:uid="{00000000-0005-0000-0000-00009E020000}"/>
    <cellStyle name="Normal 74 2" xfId="863" xr:uid="{00000000-0005-0000-0000-00009F020000}"/>
    <cellStyle name="Normal 74 3" xfId="691" xr:uid="{00000000-0005-0000-0000-0000A0020000}"/>
    <cellStyle name="Normal 75" xfId="375" xr:uid="{00000000-0005-0000-0000-0000A1020000}"/>
    <cellStyle name="Normal 75 2" xfId="865" xr:uid="{00000000-0005-0000-0000-0000A2020000}"/>
    <cellStyle name="Normal 75 3" xfId="693" xr:uid="{00000000-0005-0000-0000-0000A3020000}"/>
    <cellStyle name="Normal 76" xfId="374" xr:uid="{00000000-0005-0000-0000-0000A4020000}"/>
    <cellStyle name="Normal 77" xfId="419" xr:uid="{00000000-0005-0000-0000-0000A5020000}"/>
    <cellStyle name="Normal 78" xfId="425" xr:uid="{00000000-0005-0000-0000-0000A6020000}"/>
    <cellStyle name="Normal 79" xfId="426" xr:uid="{00000000-0005-0000-0000-0000A7020000}"/>
    <cellStyle name="Normal 8" xfId="188" xr:uid="{00000000-0005-0000-0000-0000A8020000}"/>
    <cellStyle name="Normal 8 2" xfId="789" xr:uid="{00000000-0005-0000-0000-0000A9020000}"/>
    <cellStyle name="Normal 8 3" xfId="617" xr:uid="{00000000-0005-0000-0000-0000AA020000}"/>
    <cellStyle name="Normal 80" xfId="427" xr:uid="{00000000-0005-0000-0000-0000AB020000}"/>
    <cellStyle name="Normal 81" xfId="428" xr:uid="{00000000-0005-0000-0000-0000AC020000}"/>
    <cellStyle name="Normal 82" xfId="429" xr:uid="{00000000-0005-0000-0000-0000AD020000}"/>
    <cellStyle name="Normal 83" xfId="430" xr:uid="{00000000-0005-0000-0000-0000AE020000}"/>
    <cellStyle name="Normal 84" xfId="431" xr:uid="{00000000-0005-0000-0000-0000AF020000}"/>
    <cellStyle name="Normal 85" xfId="432" xr:uid="{00000000-0005-0000-0000-0000B0020000}"/>
    <cellStyle name="Normal 86" xfId="433" xr:uid="{00000000-0005-0000-0000-0000B1020000}"/>
    <cellStyle name="Normal 87" xfId="434" xr:uid="{00000000-0005-0000-0000-0000B2020000}"/>
    <cellStyle name="Normal 88" xfId="435" xr:uid="{00000000-0005-0000-0000-0000B3020000}"/>
    <cellStyle name="Normal 89" xfId="436" xr:uid="{00000000-0005-0000-0000-0000B4020000}"/>
    <cellStyle name="Normal 9" xfId="189" xr:uid="{00000000-0005-0000-0000-0000B5020000}"/>
    <cellStyle name="Normal 9 2" xfId="790" xr:uid="{00000000-0005-0000-0000-0000B6020000}"/>
    <cellStyle name="Normal 9 3" xfId="618" xr:uid="{00000000-0005-0000-0000-0000B7020000}"/>
    <cellStyle name="Normal 90" xfId="437" xr:uid="{00000000-0005-0000-0000-0000B8020000}"/>
    <cellStyle name="Normal 91" xfId="438" xr:uid="{00000000-0005-0000-0000-0000B9020000}"/>
    <cellStyle name="Normal 92" xfId="272" xr:uid="{00000000-0005-0000-0000-0000BA020000}"/>
    <cellStyle name="Normal 93" xfId="273" xr:uid="{00000000-0005-0000-0000-0000BB020000}"/>
    <cellStyle name="Normal 94" xfId="274" xr:uid="{00000000-0005-0000-0000-0000BC020000}"/>
    <cellStyle name="Normal 95" xfId="275" xr:uid="{00000000-0005-0000-0000-0000BD020000}"/>
    <cellStyle name="Normal 96" xfId="276" xr:uid="{00000000-0005-0000-0000-0000BE020000}"/>
    <cellStyle name="Normal 97" xfId="277" xr:uid="{00000000-0005-0000-0000-0000BF020000}"/>
    <cellStyle name="Normal 98" xfId="278" xr:uid="{00000000-0005-0000-0000-0000C0020000}"/>
    <cellStyle name="Normal 99" xfId="279" xr:uid="{00000000-0005-0000-0000-0000C1020000}"/>
    <cellStyle name="Normal_Opex and Risk Factor_sent to CL_5 Mar 09" xfId="190" xr:uid="{00000000-0005-0000-0000-0000C2020000}"/>
    <cellStyle name="Note 2" xfId="191" xr:uid="{00000000-0005-0000-0000-0000C3020000}"/>
    <cellStyle name="Note 2 2" xfId="791" xr:uid="{00000000-0005-0000-0000-0000C4020000}"/>
    <cellStyle name="Note 2 3" xfId="619" xr:uid="{00000000-0005-0000-0000-0000C5020000}"/>
    <cellStyle name="Note 3" xfId="413" xr:uid="{00000000-0005-0000-0000-0000C6020000}"/>
    <cellStyle name="Note 4" xfId="936" xr:uid="{00000000-0005-0000-0000-0000C7020000}"/>
    <cellStyle name="Note 4 2" xfId="965" xr:uid="{00000000-0005-0000-0000-0000C8020000}"/>
    <cellStyle name="Note 4 3" xfId="994" xr:uid="{00000000-0005-0000-0000-0000C9020000}"/>
    <cellStyle name="Output" xfId="889" builtinId="21" customBuiltin="1"/>
    <cellStyle name="Output 2" xfId="192" xr:uid="{00000000-0005-0000-0000-0000CB020000}"/>
    <cellStyle name="Output 3" xfId="414" xr:uid="{00000000-0005-0000-0000-0000CC020000}"/>
    <cellStyle name="Percent" xfId="193" builtinId="5"/>
    <cellStyle name="percent (1)" xfId="365" xr:uid="{00000000-0005-0000-0000-0000CE020000}"/>
    <cellStyle name="Percent [2]" xfId="194" xr:uid="{00000000-0005-0000-0000-0000CF020000}"/>
    <cellStyle name="Percent 10" xfId="195" xr:uid="{00000000-0005-0000-0000-0000D0020000}"/>
    <cellStyle name="Percent 10 2" xfId="792" xr:uid="{00000000-0005-0000-0000-0000D1020000}"/>
    <cellStyle name="Percent 10 3" xfId="621" xr:uid="{00000000-0005-0000-0000-0000D2020000}"/>
    <cellStyle name="Percent 11" xfId="196" xr:uid="{00000000-0005-0000-0000-0000D3020000}"/>
    <cellStyle name="Percent 11 2" xfId="793" xr:uid="{00000000-0005-0000-0000-0000D4020000}"/>
    <cellStyle name="Percent 11 3" xfId="622" xr:uid="{00000000-0005-0000-0000-0000D5020000}"/>
    <cellStyle name="Percent 12" xfId="197" xr:uid="{00000000-0005-0000-0000-0000D6020000}"/>
    <cellStyle name="Percent 12 2" xfId="794" xr:uid="{00000000-0005-0000-0000-0000D7020000}"/>
    <cellStyle name="Percent 12 3" xfId="623" xr:uid="{00000000-0005-0000-0000-0000D8020000}"/>
    <cellStyle name="Percent 13" xfId="198" xr:uid="{00000000-0005-0000-0000-0000D9020000}"/>
    <cellStyle name="Percent 13 2" xfId="795" xr:uid="{00000000-0005-0000-0000-0000DA020000}"/>
    <cellStyle name="Percent 13 3" xfId="624" xr:uid="{00000000-0005-0000-0000-0000DB020000}"/>
    <cellStyle name="Percent 14" xfId="199" xr:uid="{00000000-0005-0000-0000-0000DC020000}"/>
    <cellStyle name="Percent 14 2" xfId="796" xr:uid="{00000000-0005-0000-0000-0000DD020000}"/>
    <cellStyle name="Percent 14 3" xfId="625" xr:uid="{00000000-0005-0000-0000-0000DE020000}"/>
    <cellStyle name="Percent 15" xfId="200" xr:uid="{00000000-0005-0000-0000-0000DF020000}"/>
    <cellStyle name="Percent 15 2" xfId="797" xr:uid="{00000000-0005-0000-0000-0000E0020000}"/>
    <cellStyle name="Percent 15 3" xfId="626" xr:uid="{00000000-0005-0000-0000-0000E1020000}"/>
    <cellStyle name="Percent 16" xfId="201" xr:uid="{00000000-0005-0000-0000-0000E2020000}"/>
    <cellStyle name="Percent 16 2" xfId="798" xr:uid="{00000000-0005-0000-0000-0000E3020000}"/>
    <cellStyle name="Percent 16 3" xfId="627" xr:uid="{00000000-0005-0000-0000-0000E4020000}"/>
    <cellStyle name="Percent 17" xfId="202" xr:uid="{00000000-0005-0000-0000-0000E5020000}"/>
    <cellStyle name="Percent 17 2" xfId="799" xr:uid="{00000000-0005-0000-0000-0000E6020000}"/>
    <cellStyle name="Percent 17 3" xfId="628" xr:uid="{00000000-0005-0000-0000-0000E7020000}"/>
    <cellStyle name="Percent 18" xfId="203" xr:uid="{00000000-0005-0000-0000-0000E8020000}"/>
    <cellStyle name="Percent 18 2" xfId="800" xr:uid="{00000000-0005-0000-0000-0000E9020000}"/>
    <cellStyle name="Percent 18 3" xfId="629" xr:uid="{00000000-0005-0000-0000-0000EA020000}"/>
    <cellStyle name="Percent 19" xfId="204" xr:uid="{00000000-0005-0000-0000-0000EB020000}"/>
    <cellStyle name="Percent 19 2" xfId="801" xr:uid="{00000000-0005-0000-0000-0000EC020000}"/>
    <cellStyle name="Percent 19 3" xfId="630" xr:uid="{00000000-0005-0000-0000-0000ED020000}"/>
    <cellStyle name="Percent 2" xfId="205" xr:uid="{00000000-0005-0000-0000-0000EE020000}"/>
    <cellStyle name="Percent 2 2" xfId="366" xr:uid="{00000000-0005-0000-0000-0000EF020000}"/>
    <cellStyle name="Percent 2 3" xfId="423" xr:uid="{00000000-0005-0000-0000-0000F0020000}"/>
    <cellStyle name="Percent 20" xfId="206" xr:uid="{00000000-0005-0000-0000-0000F1020000}"/>
    <cellStyle name="Percent 20 2" xfId="802" xr:uid="{00000000-0005-0000-0000-0000F2020000}"/>
    <cellStyle name="Percent 20 3" xfId="631" xr:uid="{00000000-0005-0000-0000-0000F3020000}"/>
    <cellStyle name="Percent 21" xfId="207" xr:uid="{00000000-0005-0000-0000-0000F4020000}"/>
    <cellStyle name="Percent 21 2" xfId="803" xr:uid="{00000000-0005-0000-0000-0000F5020000}"/>
    <cellStyle name="Percent 21 3" xfId="632" xr:uid="{00000000-0005-0000-0000-0000F6020000}"/>
    <cellStyle name="Percent 22" xfId="208" xr:uid="{00000000-0005-0000-0000-0000F7020000}"/>
    <cellStyle name="Percent 22 2" xfId="804" xr:uid="{00000000-0005-0000-0000-0000F8020000}"/>
    <cellStyle name="Percent 22 3" xfId="633" xr:uid="{00000000-0005-0000-0000-0000F9020000}"/>
    <cellStyle name="Percent 23" xfId="209" xr:uid="{00000000-0005-0000-0000-0000FA020000}"/>
    <cellStyle name="Percent 23 2" xfId="805" xr:uid="{00000000-0005-0000-0000-0000FB020000}"/>
    <cellStyle name="Percent 23 3" xfId="634" xr:uid="{00000000-0005-0000-0000-0000FC020000}"/>
    <cellStyle name="Percent 24" xfId="210" xr:uid="{00000000-0005-0000-0000-0000FD020000}"/>
    <cellStyle name="Percent 24 2" xfId="806" xr:uid="{00000000-0005-0000-0000-0000FE020000}"/>
    <cellStyle name="Percent 24 3" xfId="635" xr:uid="{00000000-0005-0000-0000-0000FF020000}"/>
    <cellStyle name="Percent 25" xfId="211" xr:uid="{00000000-0005-0000-0000-000000030000}"/>
    <cellStyle name="Percent 25 2" xfId="807" xr:uid="{00000000-0005-0000-0000-000001030000}"/>
    <cellStyle name="Percent 25 3" xfId="636" xr:uid="{00000000-0005-0000-0000-000002030000}"/>
    <cellStyle name="Percent 26" xfId="212" xr:uid="{00000000-0005-0000-0000-000003030000}"/>
    <cellStyle name="Percent 26 2" xfId="808" xr:uid="{00000000-0005-0000-0000-000004030000}"/>
    <cellStyle name="Percent 26 3" xfId="637" xr:uid="{00000000-0005-0000-0000-000005030000}"/>
    <cellStyle name="Percent 27" xfId="213" xr:uid="{00000000-0005-0000-0000-000006030000}"/>
    <cellStyle name="Percent 27 2" xfId="809" xr:uid="{00000000-0005-0000-0000-000007030000}"/>
    <cellStyle name="Percent 27 3" xfId="638" xr:uid="{00000000-0005-0000-0000-000008030000}"/>
    <cellStyle name="Percent 28" xfId="214" xr:uid="{00000000-0005-0000-0000-000009030000}"/>
    <cellStyle name="Percent 28 2" xfId="810" xr:uid="{00000000-0005-0000-0000-00000A030000}"/>
    <cellStyle name="Percent 28 3" xfId="639" xr:uid="{00000000-0005-0000-0000-00000B030000}"/>
    <cellStyle name="Percent 29" xfId="215" xr:uid="{00000000-0005-0000-0000-00000C030000}"/>
    <cellStyle name="Percent 29 2" xfId="811" xr:uid="{00000000-0005-0000-0000-00000D030000}"/>
    <cellStyle name="Percent 29 3" xfId="640" xr:uid="{00000000-0005-0000-0000-00000E030000}"/>
    <cellStyle name="Percent 3" xfId="216" xr:uid="{00000000-0005-0000-0000-00000F030000}"/>
    <cellStyle name="Percent 3 2" xfId="367" xr:uid="{00000000-0005-0000-0000-000010030000}"/>
    <cellStyle name="Percent 3 3" xfId="424" xr:uid="{00000000-0005-0000-0000-000011030000}"/>
    <cellStyle name="Percent 30" xfId="217" xr:uid="{00000000-0005-0000-0000-000012030000}"/>
    <cellStyle name="Percent 30 2" xfId="812" xr:uid="{00000000-0005-0000-0000-000013030000}"/>
    <cellStyle name="Percent 30 3" xfId="641" xr:uid="{00000000-0005-0000-0000-000014030000}"/>
    <cellStyle name="Percent 31" xfId="218" xr:uid="{00000000-0005-0000-0000-000015030000}"/>
    <cellStyle name="Percent 31 2" xfId="813" xr:uid="{00000000-0005-0000-0000-000016030000}"/>
    <cellStyle name="Percent 31 3" xfId="642" xr:uid="{00000000-0005-0000-0000-000017030000}"/>
    <cellStyle name="Percent 32" xfId="219" xr:uid="{00000000-0005-0000-0000-000018030000}"/>
    <cellStyle name="Percent 32 2" xfId="814" xr:uid="{00000000-0005-0000-0000-000019030000}"/>
    <cellStyle name="Percent 32 3" xfId="643" xr:uid="{00000000-0005-0000-0000-00001A030000}"/>
    <cellStyle name="Percent 33" xfId="220" xr:uid="{00000000-0005-0000-0000-00001B030000}"/>
    <cellStyle name="Percent 33 2" xfId="815" xr:uid="{00000000-0005-0000-0000-00001C030000}"/>
    <cellStyle name="Percent 33 3" xfId="644" xr:uid="{00000000-0005-0000-0000-00001D030000}"/>
    <cellStyle name="Percent 34" xfId="221" xr:uid="{00000000-0005-0000-0000-00001E030000}"/>
    <cellStyle name="Percent 34 2" xfId="816" xr:uid="{00000000-0005-0000-0000-00001F030000}"/>
    <cellStyle name="Percent 34 3" xfId="645" xr:uid="{00000000-0005-0000-0000-000020030000}"/>
    <cellStyle name="Percent 35" xfId="222" xr:uid="{00000000-0005-0000-0000-000021030000}"/>
    <cellStyle name="Percent 35 2" xfId="817" xr:uid="{00000000-0005-0000-0000-000022030000}"/>
    <cellStyle name="Percent 35 3" xfId="646" xr:uid="{00000000-0005-0000-0000-000023030000}"/>
    <cellStyle name="Percent 36" xfId="223" xr:uid="{00000000-0005-0000-0000-000024030000}"/>
    <cellStyle name="Percent 36 2" xfId="818" xr:uid="{00000000-0005-0000-0000-000025030000}"/>
    <cellStyle name="Percent 36 3" xfId="647" xr:uid="{00000000-0005-0000-0000-000026030000}"/>
    <cellStyle name="Percent 37" xfId="224" xr:uid="{00000000-0005-0000-0000-000027030000}"/>
    <cellStyle name="Percent 37 2" xfId="819" xr:uid="{00000000-0005-0000-0000-000028030000}"/>
    <cellStyle name="Percent 37 3" xfId="648" xr:uid="{00000000-0005-0000-0000-000029030000}"/>
    <cellStyle name="Percent 38" xfId="225" xr:uid="{00000000-0005-0000-0000-00002A030000}"/>
    <cellStyle name="Percent 38 2" xfId="820" xr:uid="{00000000-0005-0000-0000-00002B030000}"/>
    <cellStyle name="Percent 38 3" xfId="649" xr:uid="{00000000-0005-0000-0000-00002C030000}"/>
    <cellStyle name="Percent 39" xfId="226" xr:uid="{00000000-0005-0000-0000-00002D030000}"/>
    <cellStyle name="Percent 39 2" xfId="821" xr:uid="{00000000-0005-0000-0000-00002E030000}"/>
    <cellStyle name="Percent 39 3" xfId="650" xr:uid="{00000000-0005-0000-0000-00002F030000}"/>
    <cellStyle name="Percent 4" xfId="227" xr:uid="{00000000-0005-0000-0000-000030030000}"/>
    <cellStyle name="Percent 4 2" xfId="329" xr:uid="{00000000-0005-0000-0000-000031030000}"/>
    <cellStyle name="Percent 40" xfId="228" xr:uid="{00000000-0005-0000-0000-000032030000}"/>
    <cellStyle name="Percent 40 2" xfId="822" xr:uid="{00000000-0005-0000-0000-000033030000}"/>
    <cellStyle name="Percent 40 3" xfId="651" xr:uid="{00000000-0005-0000-0000-000034030000}"/>
    <cellStyle name="Percent 41" xfId="229" xr:uid="{00000000-0005-0000-0000-000035030000}"/>
    <cellStyle name="Percent 41 2" xfId="823" xr:uid="{00000000-0005-0000-0000-000036030000}"/>
    <cellStyle name="Percent 41 3" xfId="652" xr:uid="{00000000-0005-0000-0000-000037030000}"/>
    <cellStyle name="Percent 42" xfId="230" xr:uid="{00000000-0005-0000-0000-000038030000}"/>
    <cellStyle name="Percent 42 2" xfId="824" xr:uid="{00000000-0005-0000-0000-000039030000}"/>
    <cellStyle name="Percent 42 3" xfId="653" xr:uid="{00000000-0005-0000-0000-00003A030000}"/>
    <cellStyle name="Percent 43" xfId="231" xr:uid="{00000000-0005-0000-0000-00003B030000}"/>
    <cellStyle name="Percent 43 2" xfId="825" xr:uid="{00000000-0005-0000-0000-00003C030000}"/>
    <cellStyle name="Percent 43 3" xfId="654" xr:uid="{00000000-0005-0000-0000-00003D030000}"/>
    <cellStyle name="Percent 44" xfId="232" xr:uid="{00000000-0005-0000-0000-00003E030000}"/>
    <cellStyle name="Percent 44 2" xfId="826" xr:uid="{00000000-0005-0000-0000-00003F030000}"/>
    <cellStyle name="Percent 44 3" xfId="655" xr:uid="{00000000-0005-0000-0000-000040030000}"/>
    <cellStyle name="Percent 45" xfId="233" xr:uid="{00000000-0005-0000-0000-000041030000}"/>
    <cellStyle name="Percent 45 2" xfId="827" xr:uid="{00000000-0005-0000-0000-000042030000}"/>
    <cellStyle name="Percent 45 3" xfId="656" xr:uid="{00000000-0005-0000-0000-000043030000}"/>
    <cellStyle name="Percent 46" xfId="234" xr:uid="{00000000-0005-0000-0000-000044030000}"/>
    <cellStyle name="Percent 46 2" xfId="828" xr:uid="{00000000-0005-0000-0000-000045030000}"/>
    <cellStyle name="Percent 46 3" xfId="657" xr:uid="{00000000-0005-0000-0000-000046030000}"/>
    <cellStyle name="Percent 47" xfId="235" xr:uid="{00000000-0005-0000-0000-000047030000}"/>
    <cellStyle name="Percent 47 2" xfId="829" xr:uid="{00000000-0005-0000-0000-000048030000}"/>
    <cellStyle name="Percent 47 3" xfId="658" xr:uid="{00000000-0005-0000-0000-000049030000}"/>
    <cellStyle name="Percent 48" xfId="236" xr:uid="{00000000-0005-0000-0000-00004A030000}"/>
    <cellStyle name="Percent 48 2" xfId="830" xr:uid="{00000000-0005-0000-0000-00004B030000}"/>
    <cellStyle name="Percent 48 3" xfId="659" xr:uid="{00000000-0005-0000-0000-00004C030000}"/>
    <cellStyle name="Percent 49" xfId="237" xr:uid="{00000000-0005-0000-0000-00004D030000}"/>
    <cellStyle name="Percent 49 2" xfId="831" xr:uid="{00000000-0005-0000-0000-00004E030000}"/>
    <cellStyle name="Percent 49 3" xfId="660" xr:uid="{00000000-0005-0000-0000-00004F030000}"/>
    <cellStyle name="Percent 5" xfId="238" xr:uid="{00000000-0005-0000-0000-000050030000}"/>
    <cellStyle name="Percent 5 2" xfId="832" xr:uid="{00000000-0005-0000-0000-000051030000}"/>
    <cellStyle name="Percent 5 3" xfId="661" xr:uid="{00000000-0005-0000-0000-000052030000}"/>
    <cellStyle name="Percent 50" xfId="239" xr:uid="{00000000-0005-0000-0000-000053030000}"/>
    <cellStyle name="Percent 50 2" xfId="833" xr:uid="{00000000-0005-0000-0000-000054030000}"/>
    <cellStyle name="Percent 50 3" xfId="662" xr:uid="{00000000-0005-0000-0000-000055030000}"/>
    <cellStyle name="Percent 51" xfId="240" xr:uid="{00000000-0005-0000-0000-000056030000}"/>
    <cellStyle name="Percent 51 2" xfId="834" xr:uid="{00000000-0005-0000-0000-000057030000}"/>
    <cellStyle name="Percent 51 3" xfId="663" xr:uid="{00000000-0005-0000-0000-000058030000}"/>
    <cellStyle name="Percent 52" xfId="241" xr:uid="{00000000-0005-0000-0000-000059030000}"/>
    <cellStyle name="Percent 52 2" xfId="835" xr:uid="{00000000-0005-0000-0000-00005A030000}"/>
    <cellStyle name="Percent 52 3" xfId="664" xr:uid="{00000000-0005-0000-0000-00005B030000}"/>
    <cellStyle name="Percent 53" xfId="242" xr:uid="{00000000-0005-0000-0000-00005C030000}"/>
    <cellStyle name="Percent 53 2" xfId="836" xr:uid="{00000000-0005-0000-0000-00005D030000}"/>
    <cellStyle name="Percent 53 3" xfId="665" xr:uid="{00000000-0005-0000-0000-00005E030000}"/>
    <cellStyle name="Percent 54" xfId="243" xr:uid="{00000000-0005-0000-0000-00005F030000}"/>
    <cellStyle name="Percent 54 2" xfId="837" xr:uid="{00000000-0005-0000-0000-000060030000}"/>
    <cellStyle name="Percent 54 3" xfId="666" xr:uid="{00000000-0005-0000-0000-000061030000}"/>
    <cellStyle name="Percent 55" xfId="244" xr:uid="{00000000-0005-0000-0000-000062030000}"/>
    <cellStyle name="Percent 55 2" xfId="838" xr:uid="{00000000-0005-0000-0000-000063030000}"/>
    <cellStyle name="Percent 55 3" xfId="667" xr:uid="{00000000-0005-0000-0000-000064030000}"/>
    <cellStyle name="Percent 56" xfId="245" xr:uid="{00000000-0005-0000-0000-000065030000}"/>
    <cellStyle name="Percent 56 2" xfId="839" xr:uid="{00000000-0005-0000-0000-000066030000}"/>
    <cellStyle name="Percent 56 3" xfId="668" xr:uid="{00000000-0005-0000-0000-000067030000}"/>
    <cellStyle name="Percent 57" xfId="246" xr:uid="{00000000-0005-0000-0000-000068030000}"/>
    <cellStyle name="Percent 57 2" xfId="840" xr:uid="{00000000-0005-0000-0000-000069030000}"/>
    <cellStyle name="Percent 57 3" xfId="669" xr:uid="{00000000-0005-0000-0000-00006A030000}"/>
    <cellStyle name="Percent 58" xfId="247" xr:uid="{00000000-0005-0000-0000-00006B030000}"/>
    <cellStyle name="Percent 58 2" xfId="841" xr:uid="{00000000-0005-0000-0000-00006C030000}"/>
    <cellStyle name="Percent 58 3" xfId="670" xr:uid="{00000000-0005-0000-0000-00006D030000}"/>
    <cellStyle name="Percent 59" xfId="248" xr:uid="{00000000-0005-0000-0000-00006E030000}"/>
    <cellStyle name="Percent 59 2" xfId="842" xr:uid="{00000000-0005-0000-0000-00006F030000}"/>
    <cellStyle name="Percent 59 3" xfId="671" xr:uid="{00000000-0005-0000-0000-000070030000}"/>
    <cellStyle name="Percent 6" xfId="249" xr:uid="{00000000-0005-0000-0000-000071030000}"/>
    <cellStyle name="Percent 6 2" xfId="843" xr:uid="{00000000-0005-0000-0000-000072030000}"/>
    <cellStyle name="Percent 6 3" xfId="672" xr:uid="{00000000-0005-0000-0000-000073030000}"/>
    <cellStyle name="Percent 60" xfId="250" xr:uid="{00000000-0005-0000-0000-000074030000}"/>
    <cellStyle name="Percent 60 2" xfId="844" xr:uid="{00000000-0005-0000-0000-000075030000}"/>
    <cellStyle name="Percent 60 3" xfId="673" xr:uid="{00000000-0005-0000-0000-000076030000}"/>
    <cellStyle name="Percent 61" xfId="251" xr:uid="{00000000-0005-0000-0000-000077030000}"/>
    <cellStyle name="Percent 61 2" xfId="845" xr:uid="{00000000-0005-0000-0000-000078030000}"/>
    <cellStyle name="Percent 61 3" xfId="674" xr:uid="{00000000-0005-0000-0000-000079030000}"/>
    <cellStyle name="Percent 62" xfId="252" xr:uid="{00000000-0005-0000-0000-00007A030000}"/>
    <cellStyle name="Percent 62 2" xfId="846" xr:uid="{00000000-0005-0000-0000-00007B030000}"/>
    <cellStyle name="Percent 62 3" xfId="675" xr:uid="{00000000-0005-0000-0000-00007C030000}"/>
    <cellStyle name="Percent 63" xfId="253" xr:uid="{00000000-0005-0000-0000-00007D030000}"/>
    <cellStyle name="Percent 63 2" xfId="847" xr:uid="{00000000-0005-0000-0000-00007E030000}"/>
    <cellStyle name="Percent 63 3" xfId="676" xr:uid="{00000000-0005-0000-0000-00007F030000}"/>
    <cellStyle name="Percent 64" xfId="254" xr:uid="{00000000-0005-0000-0000-000080030000}"/>
    <cellStyle name="Percent 64 2" xfId="848" xr:uid="{00000000-0005-0000-0000-000081030000}"/>
    <cellStyle name="Percent 64 3" xfId="677" xr:uid="{00000000-0005-0000-0000-000082030000}"/>
    <cellStyle name="Percent 65" xfId="255" xr:uid="{00000000-0005-0000-0000-000083030000}"/>
    <cellStyle name="Percent 65 2" xfId="849" xr:uid="{00000000-0005-0000-0000-000084030000}"/>
    <cellStyle name="Percent 65 3" xfId="678" xr:uid="{00000000-0005-0000-0000-000085030000}"/>
    <cellStyle name="Percent 66" xfId="256" xr:uid="{00000000-0005-0000-0000-000086030000}"/>
    <cellStyle name="Percent 66 2" xfId="850" xr:uid="{00000000-0005-0000-0000-000087030000}"/>
    <cellStyle name="Percent 66 3" xfId="679" xr:uid="{00000000-0005-0000-0000-000088030000}"/>
    <cellStyle name="Percent 67" xfId="257" xr:uid="{00000000-0005-0000-0000-000089030000}"/>
    <cellStyle name="Percent 67 2" xfId="851" xr:uid="{00000000-0005-0000-0000-00008A030000}"/>
    <cellStyle name="Percent 67 3" xfId="680" xr:uid="{00000000-0005-0000-0000-00008B030000}"/>
    <cellStyle name="Percent 68" xfId="258" xr:uid="{00000000-0005-0000-0000-00008C030000}"/>
    <cellStyle name="Percent 68 2" xfId="852" xr:uid="{00000000-0005-0000-0000-00008D030000}"/>
    <cellStyle name="Percent 68 3" xfId="681" xr:uid="{00000000-0005-0000-0000-00008E030000}"/>
    <cellStyle name="Percent 69" xfId="259" xr:uid="{00000000-0005-0000-0000-00008F030000}"/>
    <cellStyle name="Percent 69 2" xfId="853" xr:uid="{00000000-0005-0000-0000-000090030000}"/>
    <cellStyle name="Percent 69 3" xfId="682" xr:uid="{00000000-0005-0000-0000-000091030000}"/>
    <cellStyle name="Percent 7" xfId="260" xr:uid="{00000000-0005-0000-0000-000092030000}"/>
    <cellStyle name="Percent 7 2" xfId="854" xr:uid="{00000000-0005-0000-0000-000093030000}"/>
    <cellStyle name="Percent 7 3" xfId="683" xr:uid="{00000000-0005-0000-0000-000094030000}"/>
    <cellStyle name="Percent 70" xfId="261" xr:uid="{00000000-0005-0000-0000-000095030000}"/>
    <cellStyle name="Percent 70 2" xfId="855" xr:uid="{00000000-0005-0000-0000-000096030000}"/>
    <cellStyle name="Percent 70 3" xfId="684" xr:uid="{00000000-0005-0000-0000-000097030000}"/>
    <cellStyle name="Percent 71" xfId="262" xr:uid="{00000000-0005-0000-0000-000098030000}"/>
    <cellStyle name="Percent 71 2" xfId="856" xr:uid="{00000000-0005-0000-0000-000099030000}"/>
    <cellStyle name="Percent 71 3" xfId="685" xr:uid="{00000000-0005-0000-0000-00009A030000}"/>
    <cellStyle name="Percent 72" xfId="328" xr:uid="{00000000-0005-0000-0000-00009B030000}"/>
    <cellStyle name="Percent 73" xfId="368" xr:uid="{00000000-0005-0000-0000-00009C030000}"/>
    <cellStyle name="Percent 74" xfId="373" xr:uid="{00000000-0005-0000-0000-00009D030000}"/>
    <cellStyle name="Percent 74 2" xfId="864" xr:uid="{00000000-0005-0000-0000-00009E030000}"/>
    <cellStyle name="Percent 74 3" xfId="692" xr:uid="{00000000-0005-0000-0000-00009F030000}"/>
    <cellStyle name="Percent 75" xfId="415" xr:uid="{00000000-0005-0000-0000-0000A0030000}"/>
    <cellStyle name="Percent 76" xfId="508" xr:uid="{00000000-0005-0000-0000-0000A1030000}"/>
    <cellStyle name="Percent 76 2" xfId="868" xr:uid="{00000000-0005-0000-0000-0000A2030000}"/>
    <cellStyle name="Percent 76 3" xfId="696" xr:uid="{00000000-0005-0000-0000-0000A3030000}"/>
    <cellStyle name="Percent 77" xfId="511" xr:uid="{00000000-0005-0000-0000-0000A4030000}"/>
    <cellStyle name="Percent 77 2" xfId="871" xr:uid="{00000000-0005-0000-0000-0000A5030000}"/>
    <cellStyle name="Percent 77 3" xfId="699" xr:uid="{00000000-0005-0000-0000-0000A6030000}"/>
    <cellStyle name="Percent 78" xfId="514" xr:uid="{00000000-0005-0000-0000-0000A7030000}"/>
    <cellStyle name="Percent 78 2" xfId="874" xr:uid="{00000000-0005-0000-0000-0000A8030000}"/>
    <cellStyle name="Percent 78 3" xfId="702" xr:uid="{00000000-0005-0000-0000-0000A9030000}"/>
    <cellStyle name="Percent 79" xfId="521" xr:uid="{00000000-0005-0000-0000-0000AA030000}"/>
    <cellStyle name="Percent 8" xfId="263" xr:uid="{00000000-0005-0000-0000-0000AB030000}"/>
    <cellStyle name="Percent 8 2" xfId="857" xr:uid="{00000000-0005-0000-0000-0000AC030000}"/>
    <cellStyle name="Percent 8 3" xfId="686" xr:uid="{00000000-0005-0000-0000-0000AD030000}"/>
    <cellStyle name="Percent 80" xfId="522" xr:uid="{00000000-0005-0000-0000-0000AE030000}"/>
    <cellStyle name="Percent 81" xfId="530" xr:uid="{00000000-0005-0000-0000-0000AF030000}"/>
    <cellStyle name="Percent 82" xfId="532" xr:uid="{00000000-0005-0000-0000-0000B0030000}"/>
    <cellStyle name="Percent 83" xfId="534" xr:uid="{00000000-0005-0000-0000-0000B1030000}"/>
    <cellStyle name="Percent 84" xfId="536" xr:uid="{00000000-0005-0000-0000-0000B2030000}"/>
    <cellStyle name="Percent 84 2" xfId="620" xr:uid="{00000000-0005-0000-0000-0000B3030000}"/>
    <cellStyle name="Percent 85" xfId="538" xr:uid="{00000000-0005-0000-0000-0000B4030000}"/>
    <cellStyle name="Percent 85 2" xfId="704" xr:uid="{00000000-0005-0000-0000-0000B5030000}"/>
    <cellStyle name="Percent 86" xfId="540" xr:uid="{00000000-0005-0000-0000-0000B6030000}"/>
    <cellStyle name="Percent 86 2" xfId="706" xr:uid="{00000000-0005-0000-0000-0000B7030000}"/>
    <cellStyle name="Percent 87" xfId="710" xr:uid="{00000000-0005-0000-0000-0000B8030000}"/>
    <cellStyle name="Percent 88" xfId="708" xr:uid="{00000000-0005-0000-0000-0000B9030000}"/>
    <cellStyle name="Percent 89" xfId="720" xr:uid="{00000000-0005-0000-0000-0000BA030000}"/>
    <cellStyle name="Percent 89 2" xfId="932" xr:uid="{00000000-0005-0000-0000-0000BB030000}"/>
    <cellStyle name="Percent 89 2 2" xfId="961" xr:uid="{00000000-0005-0000-0000-0000BC030000}"/>
    <cellStyle name="Percent 89 2 3" xfId="990" xr:uid="{00000000-0005-0000-0000-0000BD030000}"/>
    <cellStyle name="Percent 89 3" xfId="943" xr:uid="{00000000-0005-0000-0000-0000BE030000}"/>
    <cellStyle name="Percent 89 4" xfId="972" xr:uid="{00000000-0005-0000-0000-0000BF030000}"/>
    <cellStyle name="Percent 9" xfId="264" xr:uid="{00000000-0005-0000-0000-0000C0030000}"/>
    <cellStyle name="Percent 9 2" xfId="858" xr:uid="{00000000-0005-0000-0000-0000C1030000}"/>
    <cellStyle name="Percent 9 3" xfId="687" xr:uid="{00000000-0005-0000-0000-0000C2030000}"/>
    <cellStyle name="Percent 90" xfId="859" xr:uid="{00000000-0005-0000-0000-0000C3030000}"/>
    <cellStyle name="Percent 91" xfId="714" xr:uid="{00000000-0005-0000-0000-0000C4030000}"/>
    <cellStyle name="Percent 92" xfId="875" xr:uid="{00000000-0005-0000-0000-0000C5030000}"/>
    <cellStyle name="Percent 93" xfId="713" xr:uid="{00000000-0005-0000-0000-0000C6030000}"/>
    <cellStyle name="Percent 94" xfId="716" xr:uid="{00000000-0005-0000-0000-0000C7030000}"/>
    <cellStyle name="Percent 95" xfId="543" xr:uid="{00000000-0005-0000-0000-0000C8030000}"/>
    <cellStyle name="Percent 95 2" xfId="929" xr:uid="{00000000-0005-0000-0000-0000C9030000}"/>
    <cellStyle name="Percent 95 2 2" xfId="958" xr:uid="{00000000-0005-0000-0000-0000CA030000}"/>
    <cellStyle name="Percent 95 2 3" xfId="987" xr:uid="{00000000-0005-0000-0000-0000CB030000}"/>
    <cellStyle name="Percent 95 3" xfId="940" xr:uid="{00000000-0005-0000-0000-0000CC030000}"/>
    <cellStyle name="Percent 95 4" xfId="969" xr:uid="{00000000-0005-0000-0000-0000CD030000}"/>
    <cellStyle name="Percent 96" xfId="921" xr:uid="{00000000-0005-0000-0000-0000CE030000}"/>
    <cellStyle name="Percent 96 2" xfId="935" xr:uid="{00000000-0005-0000-0000-0000CF030000}"/>
    <cellStyle name="Percent 96 2 2" xfId="964" xr:uid="{00000000-0005-0000-0000-0000D0030000}"/>
    <cellStyle name="Percent 96 2 3" xfId="993" xr:uid="{00000000-0005-0000-0000-0000D1030000}"/>
    <cellStyle name="Percent 97" xfId="924" xr:uid="{00000000-0005-0000-0000-0000D2030000}"/>
    <cellStyle name="Quantity" xfId="265" xr:uid="{00000000-0005-0000-0000-0000D3030000}"/>
    <cellStyle name="subtitle" xfId="369" xr:uid="{00000000-0005-0000-0000-0000D4030000}"/>
    <cellStyle name="Title" xfId="880" builtinId="15" customBuiltin="1"/>
    <cellStyle name="Title 2" xfId="266" xr:uid="{00000000-0005-0000-0000-0000D6030000}"/>
    <cellStyle name="Title 3" xfId="416" xr:uid="{00000000-0005-0000-0000-0000D7030000}"/>
    <cellStyle name="Total" xfId="895" builtinId="25" customBuiltin="1"/>
    <cellStyle name="Total 2" xfId="267" xr:uid="{00000000-0005-0000-0000-0000D9030000}"/>
    <cellStyle name="Total 3" xfId="417" xr:uid="{00000000-0005-0000-0000-0000DA030000}"/>
    <cellStyle name="Warning Text" xfId="893" builtinId="11" customBuiltin="1"/>
    <cellStyle name="Warning Text 2" xfId="268" xr:uid="{00000000-0005-0000-0000-0000DC030000}"/>
    <cellStyle name="Warning Text 3" xfId="418" xr:uid="{00000000-0005-0000-0000-0000DD030000}"/>
    <cellStyle name="เครื่องหมายจุลภาค_ATM profit&amp;Loss" xfId="269" xr:uid="{00000000-0005-0000-0000-0000DE030000}"/>
    <cellStyle name="เชื่อมโยงหลายมิติ" xfId="370" xr:uid="{00000000-0005-0000-0000-0000DF030000}"/>
    <cellStyle name="ตามการเชื่อมโยงหลายมิติ" xfId="371" xr:uid="{00000000-0005-0000-0000-0000E0030000}"/>
    <cellStyle name="ปกติ_% Revolve jan - jun 07" xfId="270" xr:uid="{00000000-0005-0000-0000-0000E1030000}"/>
    <cellStyle name="一般_Quarterly PPM Format Year 2001" xfId="271" xr:uid="{00000000-0005-0000-0000-0000E2030000}"/>
  </cellStyles>
  <dxfs count="24"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3A8255"/>
      </font>
      <fill>
        <patternFill>
          <bgColor rgb="FFA4FEBC"/>
        </patternFill>
      </fill>
    </dxf>
    <dxf>
      <font>
        <color rgb="FFC00000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A8255"/>
      <color rgb="FFA4FEBC"/>
      <color rgb="FF40905E"/>
      <color rgb="FFA9F5AB"/>
      <color rgb="FF9BE092"/>
      <color rgb="FFA2D2A0"/>
      <color rgb="FF33CC33"/>
      <color rgb="FF91E1B1"/>
      <color rgb="FF99FF33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all%20business_phueng/Micro%20Business/Pricing/Raro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Input"/>
      <sheetName val="raroc"/>
      <sheetName val="spread"/>
      <sheetName val="lgd"/>
      <sheetName val="cof"/>
      <sheetName val="leq"/>
      <sheetName val="expense"/>
    </sheetNames>
    <sheetDataSet>
      <sheetData sheetId="0" refreshError="1"/>
      <sheetData sheetId="1" refreshError="1">
        <row r="3">
          <cell r="B3">
            <v>5</v>
          </cell>
        </row>
        <row r="4">
          <cell r="B4">
            <v>0</v>
          </cell>
        </row>
        <row r="5">
          <cell r="B5">
            <v>0</v>
          </cell>
        </row>
        <row r="6">
          <cell r="B6">
            <v>1250000</v>
          </cell>
        </row>
        <row r="12">
          <cell r="B12">
            <v>3.5400000000000001E-2</v>
          </cell>
        </row>
        <row r="13">
          <cell r="B13">
            <v>1.77E-2</v>
          </cell>
        </row>
        <row r="14">
          <cell r="B14">
            <v>0.2</v>
          </cell>
        </row>
        <row r="18">
          <cell r="B18">
            <v>5.3999999999999999E-2</v>
          </cell>
        </row>
        <row r="19">
          <cell r="B19">
            <v>3.25</v>
          </cell>
        </row>
        <row r="20">
          <cell r="B20">
            <v>0.5</v>
          </cell>
        </row>
        <row r="21">
          <cell r="B21">
            <v>0.3</v>
          </cell>
        </row>
        <row r="22">
          <cell r="B22">
            <v>0.15</v>
          </cell>
        </row>
        <row r="23">
          <cell r="B23">
            <v>1.03</v>
          </cell>
        </row>
      </sheetData>
      <sheetData sheetId="2" refreshError="1"/>
      <sheetData sheetId="3" refreshError="1"/>
      <sheetData sheetId="4" refreshError="1">
        <row r="2">
          <cell r="B2">
            <v>0.27</v>
          </cell>
        </row>
        <row r="3">
          <cell r="B3">
            <v>0.39</v>
          </cell>
          <cell r="C3">
            <v>1.24</v>
          </cell>
        </row>
        <row r="4">
          <cell r="B4">
            <v>0.51</v>
          </cell>
          <cell r="C4">
            <v>1.43</v>
          </cell>
        </row>
        <row r="5">
          <cell r="B5">
            <v>0.55000000000000004</v>
          </cell>
          <cell r="C5">
            <v>1</v>
          </cell>
        </row>
        <row r="6">
          <cell r="B6">
            <v>0.52</v>
          </cell>
        </row>
        <row r="7">
          <cell r="B7">
            <v>0.63</v>
          </cell>
        </row>
      </sheetData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7"/>
  <dimension ref="B1:CX73"/>
  <sheetViews>
    <sheetView tabSelected="1" zoomScale="84" zoomScaleNormal="84" workbookViewId="0">
      <selection activeCell="A56" sqref="A56"/>
    </sheetView>
  </sheetViews>
  <sheetFormatPr defaultRowHeight="12.75"/>
  <cols>
    <col min="1" max="1" width="2.140625" style="43" customWidth="1"/>
    <col min="2" max="2" width="17.140625" style="43" customWidth="1"/>
    <col min="3" max="3" width="64.5703125" style="43" customWidth="1"/>
    <col min="4" max="4" width="22.140625" style="43" bestFit="1" customWidth="1"/>
    <col min="5" max="5" width="22.85546875" style="43" bestFit="1" customWidth="1"/>
    <col min="6" max="46" width="10.85546875" style="43" customWidth="1"/>
    <col min="47" max="47" width="9.7109375" style="43" bestFit="1" customWidth="1"/>
    <col min="48" max="16384" width="9.140625" style="43"/>
  </cols>
  <sheetData>
    <row r="1" spans="2:15" ht="19.5">
      <c r="B1" s="44" t="s">
        <v>0</v>
      </c>
      <c r="C1" s="82"/>
      <c r="D1" s="45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</row>
    <row r="2" spans="2:15" ht="19.5">
      <c r="B2" s="82"/>
      <c r="C2" s="45"/>
      <c r="D2" s="45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</row>
    <row r="3" spans="2:15" ht="21.75">
      <c r="B3" s="82"/>
      <c r="C3" s="52" t="s">
        <v>1</v>
      </c>
      <c r="D3" s="63">
        <f>E60</f>
        <v>4038.6908398824062</v>
      </c>
      <c r="E3" s="83"/>
      <c r="F3" s="54"/>
      <c r="G3" s="45"/>
      <c r="H3" s="82"/>
      <c r="I3" s="82"/>
      <c r="J3" s="82"/>
      <c r="K3" s="82"/>
      <c r="L3" s="82"/>
      <c r="M3" s="82"/>
      <c r="N3" s="82"/>
      <c r="O3" s="82"/>
    </row>
    <row r="4" spans="2:15" ht="19.5">
      <c r="B4" s="82"/>
      <c r="C4" s="46"/>
      <c r="D4" s="46"/>
      <c r="E4" s="83"/>
      <c r="F4" s="83"/>
      <c r="G4" s="45"/>
      <c r="H4" s="82"/>
      <c r="I4" s="82"/>
      <c r="J4" s="82"/>
      <c r="K4" s="82"/>
      <c r="L4" s="82"/>
      <c r="M4" s="82"/>
      <c r="N4" s="82"/>
      <c r="O4" s="82"/>
    </row>
    <row r="5" spans="2:15" ht="19.5">
      <c r="B5" s="82"/>
      <c r="C5" s="46"/>
      <c r="D5" s="46"/>
      <c r="E5" s="83"/>
      <c r="F5" s="83"/>
      <c r="G5" s="45"/>
      <c r="H5" s="82"/>
      <c r="I5" s="84"/>
      <c r="J5" s="82"/>
      <c r="K5" s="82"/>
      <c r="L5" s="82"/>
      <c r="M5" s="82"/>
      <c r="N5" s="82"/>
      <c r="O5" s="82"/>
    </row>
    <row r="6" spans="2:15">
      <c r="B6" s="82"/>
      <c r="C6" s="73" t="s">
        <v>2</v>
      </c>
      <c r="D6" s="73"/>
      <c r="E6" s="68" t="s">
        <v>3</v>
      </c>
      <c r="F6" s="70" t="s">
        <v>4</v>
      </c>
      <c r="G6" s="70"/>
      <c r="H6" s="70"/>
      <c r="I6" s="70"/>
      <c r="J6" s="82"/>
      <c r="K6" s="82"/>
      <c r="L6" s="82"/>
      <c r="M6" s="82"/>
      <c r="N6" s="82"/>
      <c r="O6" s="82"/>
    </row>
    <row r="7" spans="2:15" ht="15">
      <c r="B7" s="82"/>
      <c r="C7" s="85" t="s">
        <v>5</v>
      </c>
      <c r="D7" s="85"/>
      <c r="E7" s="53" t="s">
        <v>6</v>
      </c>
      <c r="F7" s="72"/>
      <c r="G7" s="72"/>
      <c r="H7" s="72"/>
      <c r="I7" s="72"/>
      <c r="J7" s="82"/>
      <c r="K7" s="82"/>
      <c r="L7" s="82"/>
      <c r="M7" s="82"/>
      <c r="N7" s="82"/>
      <c r="O7" s="82"/>
    </row>
    <row r="8" spans="2:15" ht="15">
      <c r="B8" s="82"/>
      <c r="C8" s="74" t="s">
        <v>7</v>
      </c>
      <c r="D8" s="74"/>
      <c r="E8" s="53" t="s">
        <v>6</v>
      </c>
      <c r="F8" s="72"/>
      <c r="G8" s="72"/>
      <c r="H8" s="72"/>
      <c r="I8" s="72"/>
      <c r="J8" s="82"/>
      <c r="K8" s="82"/>
      <c r="L8" s="82"/>
      <c r="M8" s="82"/>
      <c r="N8" s="82"/>
      <c r="O8" s="82"/>
    </row>
    <row r="9" spans="2:15" ht="15">
      <c r="B9" s="82"/>
      <c r="C9" s="74" t="s">
        <v>8</v>
      </c>
      <c r="D9" s="74"/>
      <c r="E9" s="53" t="s">
        <v>9</v>
      </c>
      <c r="F9" s="72" t="s">
        <v>10</v>
      </c>
      <c r="G9" s="72"/>
      <c r="H9" s="72"/>
      <c r="I9" s="72"/>
      <c r="J9" s="82"/>
      <c r="K9" s="82"/>
      <c r="L9" s="82"/>
      <c r="M9" s="82"/>
      <c r="N9" s="82"/>
      <c r="O9" s="82"/>
    </row>
    <row r="10" spans="2:15" ht="15">
      <c r="B10" s="82"/>
      <c r="C10" s="86" t="s">
        <v>11</v>
      </c>
      <c r="D10" s="86"/>
      <c r="E10" s="53" t="s">
        <v>6</v>
      </c>
      <c r="F10" s="72"/>
      <c r="G10" s="72"/>
      <c r="H10" s="72"/>
      <c r="I10" s="72"/>
      <c r="J10" s="82"/>
      <c r="K10" s="82"/>
      <c r="L10" s="82"/>
      <c r="M10" s="82"/>
      <c r="N10" s="82"/>
      <c r="O10" s="82"/>
    </row>
    <row r="11" spans="2:15" ht="15">
      <c r="B11" s="82"/>
      <c r="C11" s="87" t="s">
        <v>12</v>
      </c>
      <c r="D11" s="87"/>
      <c r="E11" s="53" t="s">
        <v>9</v>
      </c>
      <c r="F11" s="72" t="s">
        <v>13</v>
      </c>
      <c r="G11" s="72"/>
      <c r="H11" s="72"/>
      <c r="I11" s="72"/>
      <c r="J11" s="82"/>
      <c r="K11" s="82"/>
      <c r="L11" s="82"/>
      <c r="M11" s="82"/>
      <c r="N11" s="82"/>
      <c r="O11" s="82"/>
    </row>
    <row r="12" spans="2:15" ht="19.5">
      <c r="B12" s="82"/>
      <c r="C12" s="46"/>
      <c r="D12" s="46"/>
      <c r="E12" s="83"/>
      <c r="F12" s="83"/>
      <c r="G12" s="45"/>
      <c r="H12" s="82"/>
      <c r="I12" s="82"/>
      <c r="J12" s="82"/>
      <c r="K12" s="82"/>
      <c r="L12" s="82"/>
      <c r="M12" s="82"/>
      <c r="N12" s="82"/>
      <c r="O12" s="82"/>
    </row>
    <row r="13" spans="2:15" ht="19.5">
      <c r="B13" s="82"/>
      <c r="C13" s="46"/>
      <c r="D13" s="46"/>
      <c r="E13" s="83"/>
      <c r="F13" s="83"/>
      <c r="G13" s="45"/>
      <c r="H13" s="82"/>
      <c r="I13" s="82"/>
      <c r="J13" s="82"/>
      <c r="K13" s="82"/>
      <c r="L13" s="82"/>
      <c r="M13" s="82"/>
      <c r="N13" s="82"/>
      <c r="O13" s="82"/>
    </row>
    <row r="14" spans="2:15">
      <c r="B14" s="82"/>
      <c r="C14" s="69" t="s">
        <v>14</v>
      </c>
      <c r="D14" s="69" t="s">
        <v>15</v>
      </c>
      <c r="E14" s="69" t="s">
        <v>3</v>
      </c>
      <c r="F14" s="71" t="s">
        <v>4</v>
      </c>
      <c r="G14" s="71"/>
      <c r="H14" s="71"/>
      <c r="I14" s="71"/>
      <c r="J14" s="82"/>
      <c r="K14" s="88"/>
      <c r="L14" s="82"/>
      <c r="M14" s="82"/>
      <c r="N14" s="88"/>
      <c r="O14" s="82"/>
    </row>
    <row r="15" spans="2:15" ht="15">
      <c r="B15" s="89" t="s">
        <v>16</v>
      </c>
      <c r="C15" s="90" t="s">
        <v>17</v>
      </c>
      <c r="D15" s="91">
        <v>5000</v>
      </c>
      <c r="E15" s="53" t="s">
        <v>9</v>
      </c>
      <c r="F15" s="72" t="s">
        <v>18</v>
      </c>
      <c r="G15" s="72"/>
      <c r="H15" s="72"/>
      <c r="I15" s="72"/>
      <c r="J15" s="84"/>
      <c r="K15" s="47"/>
      <c r="L15" s="47"/>
      <c r="M15" s="82"/>
      <c r="N15" s="92"/>
      <c r="O15" s="92"/>
    </row>
    <row r="16" spans="2:15" ht="15">
      <c r="B16" s="93"/>
      <c r="C16" s="90" t="s">
        <v>19</v>
      </c>
      <c r="D16" s="94">
        <v>1.8</v>
      </c>
      <c r="E16" s="53" t="s">
        <v>9</v>
      </c>
      <c r="F16" s="72" t="s">
        <v>18</v>
      </c>
      <c r="G16" s="72"/>
      <c r="H16" s="72"/>
      <c r="I16" s="72"/>
      <c r="J16" s="84"/>
      <c r="K16" s="47"/>
      <c r="L16" s="47"/>
      <c r="M16" s="82"/>
      <c r="N16" s="92"/>
      <c r="O16" s="92"/>
    </row>
    <row r="17" spans="2:15" ht="15">
      <c r="B17" s="95"/>
      <c r="C17" s="90" t="s">
        <v>20</v>
      </c>
      <c r="D17" s="94">
        <v>40</v>
      </c>
      <c r="E17" s="53" t="s">
        <v>9</v>
      </c>
      <c r="F17" s="72" t="s">
        <v>18</v>
      </c>
      <c r="G17" s="72"/>
      <c r="H17" s="72"/>
      <c r="I17" s="72"/>
      <c r="J17" s="82"/>
      <c r="K17" s="48"/>
      <c r="L17" s="49"/>
      <c r="M17" s="82"/>
      <c r="N17" s="96"/>
      <c r="O17" s="97"/>
    </row>
    <row r="18" spans="2:15" ht="15">
      <c r="B18" s="98" t="s">
        <v>21</v>
      </c>
      <c r="C18" s="90" t="s">
        <v>22</v>
      </c>
      <c r="D18" s="99">
        <v>2.6200000000000001E-2</v>
      </c>
      <c r="E18" s="53" t="s">
        <v>9</v>
      </c>
      <c r="F18" s="72" t="s">
        <v>23</v>
      </c>
      <c r="G18" s="72"/>
      <c r="H18" s="72"/>
      <c r="I18" s="72"/>
      <c r="J18" s="82"/>
      <c r="K18" s="48"/>
      <c r="L18" s="49"/>
      <c r="M18" s="82"/>
      <c r="N18" s="96"/>
      <c r="O18" s="97"/>
    </row>
    <row r="19" spans="2:15" ht="15">
      <c r="B19" s="98"/>
      <c r="C19" s="90" t="s">
        <v>24</v>
      </c>
      <c r="D19" s="99">
        <v>4.6100000000000002E-2</v>
      </c>
      <c r="E19" s="53" t="s">
        <v>9</v>
      </c>
      <c r="F19" s="72" t="s">
        <v>23</v>
      </c>
      <c r="G19" s="72"/>
      <c r="H19" s="72"/>
      <c r="I19" s="72"/>
      <c r="J19" s="82"/>
      <c r="K19" s="48"/>
      <c r="L19" s="49"/>
      <c r="M19" s="82"/>
      <c r="N19" s="96"/>
      <c r="O19" s="97"/>
    </row>
    <row r="20" spans="2:15" ht="15">
      <c r="B20" s="98"/>
      <c r="C20" s="90" t="s">
        <v>25</v>
      </c>
      <c r="D20" s="99">
        <f>D19/12</f>
        <v>3.8416666666666668E-3</v>
      </c>
      <c r="E20" s="53" t="s">
        <v>9</v>
      </c>
      <c r="F20" s="72" t="s">
        <v>23</v>
      </c>
      <c r="G20" s="72"/>
      <c r="H20" s="72"/>
      <c r="I20" s="72"/>
      <c r="J20" s="82"/>
      <c r="K20" s="48"/>
      <c r="L20" s="49"/>
      <c r="M20" s="82"/>
      <c r="N20" s="96"/>
      <c r="O20" s="97"/>
    </row>
    <row r="21" spans="2:15" ht="15">
      <c r="B21" s="100" t="s">
        <v>26</v>
      </c>
      <c r="C21" s="90" t="s">
        <v>27</v>
      </c>
      <c r="D21" s="51">
        <v>0</v>
      </c>
      <c r="E21" s="53" t="s">
        <v>6</v>
      </c>
      <c r="F21" s="72" t="s">
        <v>28</v>
      </c>
      <c r="G21" s="72"/>
      <c r="H21" s="72"/>
      <c r="I21" s="72"/>
      <c r="J21" s="82"/>
      <c r="K21" s="48"/>
      <c r="L21" s="49"/>
      <c r="M21" s="82"/>
      <c r="N21" s="96"/>
      <c r="O21" s="97"/>
    </row>
    <row r="22" spans="2:15" ht="15">
      <c r="B22" s="98" t="s">
        <v>29</v>
      </c>
      <c r="C22" s="90" t="s">
        <v>30</v>
      </c>
      <c r="D22" s="51">
        <v>0.02</v>
      </c>
      <c r="E22" s="53" t="s">
        <v>6</v>
      </c>
      <c r="F22" s="72" t="s">
        <v>28</v>
      </c>
      <c r="G22" s="72"/>
      <c r="H22" s="72"/>
      <c r="I22" s="72"/>
      <c r="J22" s="82"/>
      <c r="K22" s="48"/>
      <c r="L22" s="49"/>
      <c r="M22" s="82"/>
      <c r="N22" s="96"/>
      <c r="O22" s="97"/>
    </row>
    <row r="23" spans="2:15" ht="15">
      <c r="B23" s="98"/>
      <c r="C23" s="90" t="s">
        <v>31</v>
      </c>
      <c r="D23" s="51">
        <f>D22/12</f>
        <v>1.6666666666666668E-3</v>
      </c>
      <c r="E23" s="53" t="s">
        <v>6</v>
      </c>
      <c r="F23" s="72" t="s">
        <v>28</v>
      </c>
      <c r="G23" s="72"/>
      <c r="H23" s="72"/>
      <c r="I23" s="72"/>
      <c r="J23" s="82"/>
      <c r="K23" s="48"/>
      <c r="L23" s="49"/>
      <c r="M23" s="82"/>
      <c r="N23" s="96"/>
      <c r="O23" s="97"/>
    </row>
    <row r="24" spans="2:15" ht="15">
      <c r="B24" s="89" t="s">
        <v>32</v>
      </c>
      <c r="C24" s="90" t="s">
        <v>33</v>
      </c>
      <c r="D24" s="51">
        <v>7.1000000000000004E-3</v>
      </c>
      <c r="E24" s="53" t="s">
        <v>6</v>
      </c>
      <c r="F24" s="72" t="s">
        <v>28</v>
      </c>
      <c r="G24" s="72"/>
      <c r="H24" s="72"/>
      <c r="I24" s="72"/>
      <c r="J24" s="82"/>
      <c r="K24" s="48"/>
      <c r="L24" s="49"/>
      <c r="M24" s="82"/>
      <c r="N24" s="96"/>
      <c r="O24" s="97"/>
    </row>
    <row r="25" spans="2:15" ht="15">
      <c r="B25" s="93"/>
      <c r="C25" s="90" t="s">
        <v>34</v>
      </c>
      <c r="D25" s="51">
        <v>1E-3</v>
      </c>
      <c r="E25" s="53" t="s">
        <v>6</v>
      </c>
      <c r="F25" s="72" t="s">
        <v>28</v>
      </c>
      <c r="G25" s="72"/>
      <c r="H25" s="72"/>
      <c r="I25" s="72"/>
      <c r="J25" s="82"/>
      <c r="K25" s="48"/>
      <c r="L25" s="49"/>
      <c r="M25" s="82"/>
      <c r="N25" s="96"/>
      <c r="O25" s="97"/>
    </row>
    <row r="26" spans="2:15" ht="15">
      <c r="B26" s="95"/>
      <c r="C26" s="90" t="s">
        <v>35</v>
      </c>
      <c r="D26" s="51">
        <v>3.3000000000000002E-2</v>
      </c>
      <c r="E26" s="53" t="s">
        <v>6</v>
      </c>
      <c r="F26" s="72" t="s">
        <v>28</v>
      </c>
      <c r="G26" s="72"/>
      <c r="H26" s="72"/>
      <c r="I26" s="72"/>
      <c r="J26" s="82"/>
      <c r="K26" s="48"/>
      <c r="L26" s="49"/>
      <c r="M26" s="82"/>
      <c r="N26" s="96"/>
      <c r="O26" s="97"/>
    </row>
    <row r="27" spans="2:15" ht="15">
      <c r="B27" s="98" t="s">
        <v>36</v>
      </c>
      <c r="C27" s="90" t="s">
        <v>37</v>
      </c>
      <c r="D27" s="101" t="s">
        <v>38</v>
      </c>
      <c r="E27" s="53" t="s">
        <v>9</v>
      </c>
      <c r="F27" s="72" t="s">
        <v>39</v>
      </c>
      <c r="G27" s="72"/>
      <c r="H27" s="72"/>
      <c r="I27" s="72"/>
      <c r="J27" s="82"/>
      <c r="K27" s="48"/>
      <c r="L27" s="49"/>
      <c r="M27" s="82"/>
      <c r="N27" s="96"/>
      <c r="O27" s="97"/>
    </row>
    <row r="28" spans="2:15" ht="15">
      <c r="B28" s="98"/>
      <c r="C28" s="90" t="s">
        <v>40</v>
      </c>
      <c r="D28" s="99">
        <v>0.3342</v>
      </c>
      <c r="E28" s="53" t="s">
        <v>9</v>
      </c>
      <c r="F28" s="72" t="s">
        <v>39</v>
      </c>
      <c r="G28" s="72"/>
      <c r="H28" s="72"/>
      <c r="I28" s="72"/>
      <c r="J28" s="82"/>
      <c r="K28" s="48"/>
      <c r="L28" s="49"/>
      <c r="M28" s="82"/>
      <c r="N28" s="96"/>
      <c r="O28" s="97"/>
    </row>
    <row r="29" spans="2:15" ht="15">
      <c r="B29" s="98"/>
      <c r="C29" s="90" t="s">
        <v>41</v>
      </c>
      <c r="D29" s="99">
        <v>1.03</v>
      </c>
      <c r="E29" s="53" t="s">
        <v>9</v>
      </c>
      <c r="F29" s="72" t="s">
        <v>39</v>
      </c>
      <c r="G29" s="72"/>
      <c r="H29" s="72"/>
      <c r="I29" s="72"/>
      <c r="J29" s="82"/>
      <c r="K29" s="48"/>
      <c r="L29" s="49"/>
      <c r="M29" s="82"/>
      <c r="N29" s="96"/>
      <c r="O29" s="97"/>
    </row>
    <row r="30" spans="2:15" ht="15">
      <c r="B30" s="89" t="s">
        <v>42</v>
      </c>
      <c r="C30" s="59" t="s">
        <v>43</v>
      </c>
      <c r="D30" s="60">
        <f>0.12/12</f>
        <v>0.01</v>
      </c>
      <c r="E30" s="53" t="s">
        <v>9</v>
      </c>
      <c r="F30" s="72" t="s">
        <v>39</v>
      </c>
      <c r="G30" s="72"/>
      <c r="H30" s="72"/>
      <c r="I30" s="72"/>
      <c r="J30" s="82"/>
      <c r="K30" s="48"/>
      <c r="L30" s="49"/>
      <c r="M30" s="82"/>
      <c r="N30" s="96"/>
      <c r="O30" s="97"/>
    </row>
    <row r="31" spans="2:15" ht="15">
      <c r="B31" s="95"/>
      <c r="C31" s="59" t="s">
        <v>44</v>
      </c>
      <c r="D31" s="60">
        <f>0.1/12</f>
        <v>8.3333333333333332E-3</v>
      </c>
      <c r="E31" s="53" t="s">
        <v>9</v>
      </c>
      <c r="F31" s="72" t="s">
        <v>39</v>
      </c>
      <c r="G31" s="72"/>
      <c r="H31" s="72"/>
      <c r="I31" s="72"/>
      <c r="J31" s="82"/>
      <c r="K31" s="48"/>
      <c r="L31" s="49"/>
      <c r="M31" s="82"/>
      <c r="N31" s="96"/>
      <c r="O31" s="97"/>
    </row>
    <row r="32" spans="2:15" ht="15">
      <c r="B32" s="82"/>
      <c r="C32" s="90" t="s">
        <v>45</v>
      </c>
      <c r="D32" s="51">
        <v>0.2</v>
      </c>
      <c r="E32" s="53" t="s">
        <v>6</v>
      </c>
      <c r="F32" s="72" t="s">
        <v>28</v>
      </c>
      <c r="G32" s="72"/>
      <c r="H32" s="72"/>
      <c r="I32" s="72"/>
      <c r="J32" s="82"/>
      <c r="K32" s="50"/>
      <c r="L32" s="49"/>
      <c r="M32" s="82"/>
      <c r="N32" s="82"/>
      <c r="O32" s="82"/>
    </row>
    <row r="33" spans="2:102" ht="15">
      <c r="B33" s="82"/>
      <c r="C33" s="90" t="s">
        <v>46</v>
      </c>
      <c r="D33" s="99">
        <v>0.125</v>
      </c>
      <c r="E33" s="53" t="s">
        <v>9</v>
      </c>
      <c r="F33" s="72" t="s">
        <v>47</v>
      </c>
      <c r="G33" s="72"/>
      <c r="H33" s="72"/>
      <c r="I33" s="7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  <c r="CW33" s="82"/>
      <c r="CX33" s="82"/>
    </row>
    <row r="34" spans="2:102" ht="15">
      <c r="B34" s="82"/>
      <c r="C34" s="90" t="s">
        <v>48</v>
      </c>
      <c r="D34" s="99">
        <f>D33/12</f>
        <v>1.0416666666666666E-2</v>
      </c>
      <c r="E34" s="53" t="s">
        <v>9</v>
      </c>
      <c r="F34" s="72" t="s">
        <v>47</v>
      </c>
      <c r="G34" s="72"/>
      <c r="H34" s="72"/>
      <c r="I34" s="7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  <c r="CW34" s="82"/>
      <c r="CX34" s="82"/>
    </row>
    <row r="35" spans="2:102" ht="21.75">
      <c r="B35" s="82"/>
      <c r="C35"/>
      <c r="D35"/>
      <c r="E35" s="102"/>
      <c r="F35" s="102"/>
      <c r="G35" s="103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</row>
    <row r="36" spans="2:102">
      <c r="B36" s="82"/>
      <c r="C36" s="104"/>
      <c r="D36" s="104"/>
      <c r="E36" s="105"/>
      <c r="F36" s="105"/>
      <c r="G36" s="103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  <c r="CW36" s="82"/>
      <c r="CX36" s="82"/>
    </row>
    <row r="37" spans="2:102">
      <c r="B37" s="82"/>
      <c r="C37" s="106"/>
      <c r="D37" s="106"/>
      <c r="E37" s="105"/>
      <c r="F37" s="105"/>
      <c r="G37" s="103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  <c r="CW37" s="82"/>
      <c r="CX37" s="82"/>
    </row>
    <row r="38" spans="2:102">
      <c r="B38" s="82"/>
      <c r="C38" s="103"/>
      <c r="D38" s="103"/>
      <c r="E38" s="105"/>
      <c r="F38" s="107" t="s">
        <v>49</v>
      </c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9"/>
    </row>
    <row r="39" spans="2:102">
      <c r="B39" s="82"/>
      <c r="C39" s="110" t="s">
        <v>50</v>
      </c>
      <c r="D39" s="110" t="s">
        <v>51</v>
      </c>
      <c r="E39" s="111" t="s">
        <v>52</v>
      </c>
      <c r="F39" s="112">
        <v>0</v>
      </c>
      <c r="G39" s="113">
        <f t="shared" ref="G39:AU39" si="0">IF(OR(IF(F39&lt;=$D$17,F39+1,$D$17)=$D$17+1,F39=""),"",IF(F39&lt;$D$17+1,F39+1,$D$17+1))</f>
        <v>1</v>
      </c>
      <c r="H39" s="113">
        <f t="shared" si="0"/>
        <v>2</v>
      </c>
      <c r="I39" s="113">
        <f t="shared" si="0"/>
        <v>3</v>
      </c>
      <c r="J39" s="113">
        <f t="shared" si="0"/>
        <v>4</v>
      </c>
      <c r="K39" s="113">
        <f t="shared" si="0"/>
        <v>5</v>
      </c>
      <c r="L39" s="113">
        <f t="shared" si="0"/>
        <v>6</v>
      </c>
      <c r="M39" s="113">
        <f t="shared" si="0"/>
        <v>7</v>
      </c>
      <c r="N39" s="113">
        <f t="shared" si="0"/>
        <v>8</v>
      </c>
      <c r="O39" s="113">
        <f t="shared" si="0"/>
        <v>9</v>
      </c>
      <c r="P39" s="113">
        <f t="shared" si="0"/>
        <v>10</v>
      </c>
      <c r="Q39" s="113">
        <f t="shared" si="0"/>
        <v>11</v>
      </c>
      <c r="R39" s="113">
        <f t="shared" si="0"/>
        <v>12</v>
      </c>
      <c r="S39" s="113">
        <f t="shared" si="0"/>
        <v>13</v>
      </c>
      <c r="T39" s="113">
        <f t="shared" si="0"/>
        <v>14</v>
      </c>
      <c r="U39" s="113">
        <f t="shared" si="0"/>
        <v>15</v>
      </c>
      <c r="V39" s="113">
        <f t="shared" si="0"/>
        <v>16</v>
      </c>
      <c r="W39" s="113">
        <f t="shared" si="0"/>
        <v>17</v>
      </c>
      <c r="X39" s="113">
        <f t="shared" si="0"/>
        <v>18</v>
      </c>
      <c r="Y39" s="113">
        <f t="shared" si="0"/>
        <v>19</v>
      </c>
      <c r="Z39" s="113">
        <f t="shared" si="0"/>
        <v>20</v>
      </c>
      <c r="AA39" s="113">
        <f t="shared" si="0"/>
        <v>21</v>
      </c>
      <c r="AB39" s="113">
        <f t="shared" si="0"/>
        <v>22</v>
      </c>
      <c r="AC39" s="113">
        <f t="shared" si="0"/>
        <v>23</v>
      </c>
      <c r="AD39" s="113">
        <f t="shared" si="0"/>
        <v>24</v>
      </c>
      <c r="AE39" s="113">
        <f t="shared" si="0"/>
        <v>25</v>
      </c>
      <c r="AF39" s="113">
        <f t="shared" si="0"/>
        <v>26</v>
      </c>
      <c r="AG39" s="113">
        <f t="shared" si="0"/>
        <v>27</v>
      </c>
      <c r="AH39" s="113">
        <f t="shared" si="0"/>
        <v>28</v>
      </c>
      <c r="AI39" s="113">
        <f t="shared" si="0"/>
        <v>29</v>
      </c>
      <c r="AJ39" s="113">
        <f t="shared" si="0"/>
        <v>30</v>
      </c>
      <c r="AK39" s="113">
        <f t="shared" si="0"/>
        <v>31</v>
      </c>
      <c r="AL39" s="113">
        <f t="shared" si="0"/>
        <v>32</v>
      </c>
      <c r="AM39" s="113">
        <f t="shared" si="0"/>
        <v>33</v>
      </c>
      <c r="AN39" s="113">
        <f t="shared" si="0"/>
        <v>34</v>
      </c>
      <c r="AO39" s="113">
        <f t="shared" si="0"/>
        <v>35</v>
      </c>
      <c r="AP39" s="113">
        <f t="shared" si="0"/>
        <v>36</v>
      </c>
      <c r="AQ39" s="113">
        <f t="shared" si="0"/>
        <v>37</v>
      </c>
      <c r="AR39" s="113">
        <f t="shared" si="0"/>
        <v>38</v>
      </c>
      <c r="AS39" s="113">
        <f t="shared" si="0"/>
        <v>39</v>
      </c>
      <c r="AT39" s="113">
        <f t="shared" si="0"/>
        <v>40</v>
      </c>
      <c r="AU39" s="113" t="str">
        <f t="shared" si="0"/>
        <v/>
      </c>
      <c r="AV39" s="113" t="str">
        <f>IF(OR(IF(AU39&lt;=$D$17,AU39+1,$D$17)=$D$17+1,AU39=""),"",IF(AU39&lt;$D$17+1,AU39+1,$D$17+1))</f>
        <v/>
      </c>
      <c r="AW39" s="113" t="str">
        <f t="shared" ref="AW39:CX39" si="1">IF(OR(IF(AV39&lt;=$D$17,AV39+1,$D$17)=$D$17+1,AV39=""),"",IF(AV39&lt;$D$17+1,AV39+1,$D$17+1))</f>
        <v/>
      </c>
      <c r="AX39" s="113" t="str">
        <f t="shared" si="1"/>
        <v/>
      </c>
      <c r="AY39" s="113" t="str">
        <f t="shared" si="1"/>
        <v/>
      </c>
      <c r="AZ39" s="113" t="str">
        <f t="shared" si="1"/>
        <v/>
      </c>
      <c r="BA39" s="113" t="str">
        <f t="shared" si="1"/>
        <v/>
      </c>
      <c r="BB39" s="113" t="str">
        <f t="shared" si="1"/>
        <v/>
      </c>
      <c r="BC39" s="113" t="str">
        <f t="shared" si="1"/>
        <v/>
      </c>
      <c r="BD39" s="113" t="str">
        <f t="shared" si="1"/>
        <v/>
      </c>
      <c r="BE39" s="113" t="str">
        <f t="shared" si="1"/>
        <v/>
      </c>
      <c r="BF39" s="113" t="str">
        <f t="shared" si="1"/>
        <v/>
      </c>
      <c r="BG39" s="113" t="str">
        <f t="shared" si="1"/>
        <v/>
      </c>
      <c r="BH39" s="113" t="str">
        <f t="shared" si="1"/>
        <v/>
      </c>
      <c r="BI39" s="113" t="str">
        <f t="shared" si="1"/>
        <v/>
      </c>
      <c r="BJ39" s="113" t="str">
        <f t="shared" si="1"/>
        <v/>
      </c>
      <c r="BK39" s="113" t="str">
        <f t="shared" si="1"/>
        <v/>
      </c>
      <c r="BL39" s="113" t="str">
        <f t="shared" si="1"/>
        <v/>
      </c>
      <c r="BM39" s="113" t="str">
        <f t="shared" si="1"/>
        <v/>
      </c>
      <c r="BN39" s="113" t="str">
        <f t="shared" si="1"/>
        <v/>
      </c>
      <c r="BO39" s="113" t="str">
        <f t="shared" si="1"/>
        <v/>
      </c>
      <c r="BP39" s="113" t="str">
        <f t="shared" si="1"/>
        <v/>
      </c>
      <c r="BQ39" s="113" t="str">
        <f t="shared" si="1"/>
        <v/>
      </c>
      <c r="BR39" s="113" t="str">
        <f t="shared" si="1"/>
        <v/>
      </c>
      <c r="BS39" s="113" t="str">
        <f t="shared" si="1"/>
        <v/>
      </c>
      <c r="BT39" s="113" t="str">
        <f t="shared" si="1"/>
        <v/>
      </c>
      <c r="BU39" s="113" t="str">
        <f t="shared" si="1"/>
        <v/>
      </c>
      <c r="BV39" s="113" t="str">
        <f t="shared" si="1"/>
        <v/>
      </c>
      <c r="BW39" s="113" t="str">
        <f t="shared" si="1"/>
        <v/>
      </c>
      <c r="BX39" s="113" t="str">
        <f t="shared" si="1"/>
        <v/>
      </c>
      <c r="BY39" s="113" t="str">
        <f t="shared" si="1"/>
        <v/>
      </c>
      <c r="BZ39" s="113" t="str">
        <f t="shared" si="1"/>
        <v/>
      </c>
      <c r="CA39" s="113" t="str">
        <f t="shared" si="1"/>
        <v/>
      </c>
      <c r="CB39" s="113" t="str">
        <f t="shared" si="1"/>
        <v/>
      </c>
      <c r="CC39" s="113" t="str">
        <f t="shared" si="1"/>
        <v/>
      </c>
      <c r="CD39" s="113" t="str">
        <f t="shared" si="1"/>
        <v/>
      </c>
      <c r="CE39" s="113" t="str">
        <f t="shared" si="1"/>
        <v/>
      </c>
      <c r="CF39" s="113" t="str">
        <f t="shared" si="1"/>
        <v/>
      </c>
      <c r="CG39" s="113" t="str">
        <f t="shared" si="1"/>
        <v/>
      </c>
      <c r="CH39" s="113" t="str">
        <f t="shared" si="1"/>
        <v/>
      </c>
      <c r="CI39" s="113" t="str">
        <f t="shared" si="1"/>
        <v/>
      </c>
      <c r="CJ39" s="113" t="str">
        <f t="shared" si="1"/>
        <v/>
      </c>
      <c r="CK39" s="113" t="str">
        <f t="shared" si="1"/>
        <v/>
      </c>
      <c r="CL39" s="113" t="str">
        <f t="shared" si="1"/>
        <v/>
      </c>
      <c r="CM39" s="113" t="str">
        <f t="shared" si="1"/>
        <v/>
      </c>
      <c r="CN39" s="113" t="str">
        <f t="shared" si="1"/>
        <v/>
      </c>
      <c r="CO39" s="113" t="str">
        <f t="shared" si="1"/>
        <v/>
      </c>
      <c r="CP39" s="113" t="str">
        <f t="shared" si="1"/>
        <v/>
      </c>
      <c r="CQ39" s="113" t="str">
        <f t="shared" si="1"/>
        <v/>
      </c>
      <c r="CR39" s="113" t="str">
        <f t="shared" si="1"/>
        <v/>
      </c>
      <c r="CS39" s="113" t="str">
        <f t="shared" si="1"/>
        <v/>
      </c>
      <c r="CT39" s="113" t="str">
        <f t="shared" si="1"/>
        <v/>
      </c>
      <c r="CU39" s="113" t="str">
        <f t="shared" si="1"/>
        <v/>
      </c>
      <c r="CV39" s="113" t="str">
        <f t="shared" si="1"/>
        <v/>
      </c>
      <c r="CW39" s="113" t="str">
        <f t="shared" si="1"/>
        <v/>
      </c>
      <c r="CX39" s="114" t="str">
        <f t="shared" si="1"/>
        <v/>
      </c>
    </row>
    <row r="40" spans="2:102">
      <c r="B40" s="89" t="s">
        <v>53</v>
      </c>
      <c r="C40" s="55" t="s">
        <v>54</v>
      </c>
      <c r="D40" s="55"/>
      <c r="E40" s="115"/>
      <c r="F40" s="116"/>
      <c r="G40" s="117">
        <f>D15</f>
        <v>5000</v>
      </c>
      <c r="H40" s="117">
        <f>IF(OR(H39&gt;$D$17,H39=""),"",G40-G41)</f>
        <v>4884.1188100218615</v>
      </c>
      <c r="I40" s="117">
        <f t="shared" ref="I40:BT40" si="2">IF(OR(I39&gt;$D$17,I39=""),"",H40-H41)</f>
        <v>4767.7924431388901</v>
      </c>
      <c r="J40" s="117">
        <f t="shared" si="2"/>
        <v>4651.01918912981</v>
      </c>
      <c r="K40" s="117">
        <f t="shared" si="2"/>
        <v>4533.7973312032445</v>
      </c>
      <c r="L40" s="117">
        <f t="shared" si="2"/>
        <v>4416.1251459724781</v>
      </c>
      <c r="M40" s="117">
        <f t="shared" si="2"/>
        <v>4298.0009034301165</v>
      </c>
      <c r="N40" s="117">
        <f t="shared" si="2"/>
        <v>4179.422866922655</v>
      </c>
      <c r="O40" s="117">
        <f t="shared" si="2"/>
        <v>4060.3892931249443</v>
      </c>
      <c r="P40" s="117">
        <f t="shared" si="2"/>
        <v>3940.8984320145605</v>
      </c>
      <c r="Q40" s="117">
        <f t="shared" si="2"/>
        <v>3820.9485268460776</v>
      </c>
      <c r="R40" s="117">
        <f t="shared" si="2"/>
        <v>3700.537814125239</v>
      </c>
      <c r="S40" s="117">
        <f t="shared" si="2"/>
        <v>3579.6645235830315</v>
      </c>
      <c r="T40" s="117">
        <f t="shared" si="2"/>
        <v>3458.3268781496577</v>
      </c>
      <c r="U40" s="117">
        <f t="shared" si="2"/>
        <v>3336.5230939284106</v>
      </c>
      <c r="V40" s="117">
        <f t="shared" si="2"/>
        <v>3214.2513801694467</v>
      </c>
      <c r="W40" s="117">
        <f t="shared" si="2"/>
        <v>3091.509939243459</v>
      </c>
      <c r="X40" s="117">
        <f t="shared" si="2"/>
        <v>2968.2969666152471</v>
      </c>
      <c r="Y40" s="117">
        <f t="shared" si="2"/>
        <v>2844.6106508171888</v>
      </c>
      <c r="Z40" s="117">
        <f t="shared" si="2"/>
        <v>2720.4491734226062</v>
      </c>
      <c r="AA40" s="117">
        <f t="shared" si="2"/>
        <v>2595.8107090190329</v>
      </c>
      <c r="AB40" s="117">
        <f t="shared" si="2"/>
        <v>2470.6934251813755</v>
      </c>
      <c r="AC40" s="117">
        <f t="shared" si="2"/>
        <v>2345.095482444975</v>
      </c>
      <c r="AD40" s="117">
        <f t="shared" si="2"/>
        <v>2219.0150342785623</v>
      </c>
      <c r="AE40" s="117">
        <f t="shared" si="2"/>
        <v>2092.4502270571102</v>
      </c>
      <c r="AF40" s="117">
        <f t="shared" si="2"/>
        <v>1965.3992000345825</v>
      </c>
      <c r="AG40" s="117">
        <f t="shared" si="2"/>
        <v>1837.8600853165765</v>
      </c>
      <c r="AH40" s="117">
        <f t="shared" si="2"/>
        <v>1709.8310078328623</v>
      </c>
      <c r="AI40" s="117">
        <f t="shared" si="2"/>
        <v>1581.3100853098149</v>
      </c>
      <c r="AJ40" s="117">
        <f t="shared" si="2"/>
        <v>1452.2954282427413</v>
      </c>
      <c r="AK40" s="117">
        <f t="shared" si="2"/>
        <v>1322.7851398681019</v>
      </c>
      <c r="AL40" s="117">
        <f t="shared" si="2"/>
        <v>1192.7773161356231</v>
      </c>
      <c r="AM40" s="117">
        <f t="shared" si="2"/>
        <v>1062.2700456803054</v>
      </c>
      <c r="AN40" s="117">
        <f t="shared" si="2"/>
        <v>931.26140979432193</v>
      </c>
      <c r="AO40" s="117">
        <f t="shared" si="2"/>
        <v>799.74948239880973</v>
      </c>
      <c r="AP40" s="117">
        <f t="shared" si="2"/>
        <v>667.73233001555309</v>
      </c>
      <c r="AQ40" s="117">
        <f t="shared" si="2"/>
        <v>535.20801173855739</v>
      </c>
      <c r="AR40" s="117">
        <f t="shared" si="2"/>
        <v>402.17457920551431</v>
      </c>
      <c r="AS40" s="117">
        <f t="shared" si="2"/>
        <v>268.63007656915676</v>
      </c>
      <c r="AT40" s="117">
        <f t="shared" si="2"/>
        <v>134.57254046850451</v>
      </c>
      <c r="AU40" s="117" t="str">
        <f t="shared" si="2"/>
        <v/>
      </c>
      <c r="AV40" s="117" t="str">
        <f t="shared" si="2"/>
        <v/>
      </c>
      <c r="AW40" s="117" t="str">
        <f t="shared" si="2"/>
        <v/>
      </c>
      <c r="AX40" s="117" t="str">
        <f t="shared" si="2"/>
        <v/>
      </c>
      <c r="AY40" s="117" t="str">
        <f t="shared" si="2"/>
        <v/>
      </c>
      <c r="AZ40" s="117" t="str">
        <f t="shared" si="2"/>
        <v/>
      </c>
      <c r="BA40" s="117" t="str">
        <f t="shared" si="2"/>
        <v/>
      </c>
      <c r="BB40" s="117" t="str">
        <f t="shared" si="2"/>
        <v/>
      </c>
      <c r="BC40" s="117" t="str">
        <f t="shared" si="2"/>
        <v/>
      </c>
      <c r="BD40" s="117" t="str">
        <f t="shared" si="2"/>
        <v/>
      </c>
      <c r="BE40" s="117" t="str">
        <f t="shared" si="2"/>
        <v/>
      </c>
      <c r="BF40" s="117" t="str">
        <f t="shared" si="2"/>
        <v/>
      </c>
      <c r="BG40" s="117" t="str">
        <f t="shared" si="2"/>
        <v/>
      </c>
      <c r="BH40" s="117" t="str">
        <f t="shared" si="2"/>
        <v/>
      </c>
      <c r="BI40" s="117" t="str">
        <f t="shared" si="2"/>
        <v/>
      </c>
      <c r="BJ40" s="117" t="str">
        <f t="shared" si="2"/>
        <v/>
      </c>
      <c r="BK40" s="117" t="str">
        <f t="shared" si="2"/>
        <v/>
      </c>
      <c r="BL40" s="117" t="str">
        <f t="shared" si="2"/>
        <v/>
      </c>
      <c r="BM40" s="117" t="str">
        <f t="shared" si="2"/>
        <v/>
      </c>
      <c r="BN40" s="117" t="str">
        <f t="shared" si="2"/>
        <v/>
      </c>
      <c r="BO40" s="117" t="str">
        <f t="shared" si="2"/>
        <v/>
      </c>
      <c r="BP40" s="117" t="str">
        <f t="shared" si="2"/>
        <v/>
      </c>
      <c r="BQ40" s="117" t="str">
        <f t="shared" si="2"/>
        <v/>
      </c>
      <c r="BR40" s="117" t="str">
        <f t="shared" si="2"/>
        <v/>
      </c>
      <c r="BS40" s="117" t="str">
        <f t="shared" si="2"/>
        <v/>
      </c>
      <c r="BT40" s="117" t="str">
        <f t="shared" si="2"/>
        <v/>
      </c>
      <c r="BU40" s="117" t="str">
        <f t="shared" ref="BU40:CX40" si="3">IF(OR(BU39&gt;$D$17,BU39=""),"",BT40-BT41)</f>
        <v/>
      </c>
      <c r="BV40" s="117" t="str">
        <f t="shared" si="3"/>
        <v/>
      </c>
      <c r="BW40" s="117" t="str">
        <f t="shared" si="3"/>
        <v/>
      </c>
      <c r="BX40" s="117" t="str">
        <f t="shared" si="3"/>
        <v/>
      </c>
      <c r="BY40" s="117" t="str">
        <f t="shared" si="3"/>
        <v/>
      </c>
      <c r="BZ40" s="117" t="str">
        <f t="shared" si="3"/>
        <v/>
      </c>
      <c r="CA40" s="117" t="str">
        <f t="shared" si="3"/>
        <v/>
      </c>
      <c r="CB40" s="117" t="str">
        <f t="shared" si="3"/>
        <v/>
      </c>
      <c r="CC40" s="117" t="str">
        <f t="shared" si="3"/>
        <v/>
      </c>
      <c r="CD40" s="117" t="str">
        <f t="shared" si="3"/>
        <v/>
      </c>
      <c r="CE40" s="117" t="str">
        <f t="shared" si="3"/>
        <v/>
      </c>
      <c r="CF40" s="117" t="str">
        <f t="shared" si="3"/>
        <v/>
      </c>
      <c r="CG40" s="117" t="str">
        <f t="shared" si="3"/>
        <v/>
      </c>
      <c r="CH40" s="117" t="str">
        <f t="shared" si="3"/>
        <v/>
      </c>
      <c r="CI40" s="117" t="str">
        <f t="shared" si="3"/>
        <v/>
      </c>
      <c r="CJ40" s="117" t="str">
        <f t="shared" si="3"/>
        <v/>
      </c>
      <c r="CK40" s="117" t="str">
        <f t="shared" si="3"/>
        <v/>
      </c>
      <c r="CL40" s="117" t="str">
        <f t="shared" si="3"/>
        <v/>
      </c>
      <c r="CM40" s="117" t="str">
        <f t="shared" si="3"/>
        <v/>
      </c>
      <c r="CN40" s="117" t="str">
        <f t="shared" si="3"/>
        <v/>
      </c>
      <c r="CO40" s="117" t="str">
        <f t="shared" si="3"/>
        <v/>
      </c>
      <c r="CP40" s="117" t="str">
        <f t="shared" si="3"/>
        <v/>
      </c>
      <c r="CQ40" s="117" t="str">
        <f t="shared" si="3"/>
        <v/>
      </c>
      <c r="CR40" s="117" t="str">
        <f t="shared" si="3"/>
        <v/>
      </c>
      <c r="CS40" s="117" t="str">
        <f t="shared" si="3"/>
        <v/>
      </c>
      <c r="CT40" s="117" t="str">
        <f t="shared" si="3"/>
        <v/>
      </c>
      <c r="CU40" s="117" t="str">
        <f t="shared" si="3"/>
        <v/>
      </c>
      <c r="CV40" s="117" t="str">
        <f t="shared" si="3"/>
        <v/>
      </c>
      <c r="CW40" s="117" t="str">
        <f t="shared" si="3"/>
        <v/>
      </c>
      <c r="CX40" s="118" t="str">
        <f t="shared" si="3"/>
        <v/>
      </c>
    </row>
    <row r="41" spans="2:102">
      <c r="B41" s="93"/>
      <c r="C41" s="119" t="s">
        <v>55</v>
      </c>
      <c r="D41" s="55"/>
      <c r="E41" s="62">
        <f>NPV($D$34,G41:CX41)</f>
        <v>4050.5775303691112</v>
      </c>
      <c r="F41" s="120"/>
      <c r="G41" s="121">
        <f>IF(OR(G39&gt;$D$17,G39=""),"",(-PPMT($D$20,G39,$D$17,$D$15,)))</f>
        <v>115.88118997813874</v>
      </c>
      <c r="H41" s="121">
        <f t="shared" ref="H41:BS41" si="4">IF(OR(H39&gt;$D$17,H39=""),"",(-PPMT($D$20,H39,$D$17,$D$15,)))</f>
        <v>116.32636688297141</v>
      </c>
      <c r="I41" s="121">
        <f t="shared" si="4"/>
        <v>116.77325400908018</v>
      </c>
      <c r="J41" s="121">
        <f t="shared" si="4"/>
        <v>117.22185792656505</v>
      </c>
      <c r="K41" s="121">
        <f t="shared" si="4"/>
        <v>117.67218523076627</v>
      </c>
      <c r="L41" s="121">
        <f t="shared" si="4"/>
        <v>118.12424254236115</v>
      </c>
      <c r="M41" s="121">
        <f t="shared" si="4"/>
        <v>118.57803650746138</v>
      </c>
      <c r="N41" s="121">
        <f t="shared" si="4"/>
        <v>119.03357379771087</v>
      </c>
      <c r="O41" s="121">
        <f t="shared" si="4"/>
        <v>119.49086111038373</v>
      </c>
      <c r="P41" s="121">
        <f t="shared" si="4"/>
        <v>119.94990516848279</v>
      </c>
      <c r="Q41" s="121">
        <f t="shared" si="4"/>
        <v>120.41071272083838</v>
      </c>
      <c r="R41" s="121">
        <f t="shared" si="4"/>
        <v>120.87329054220761</v>
      </c>
      <c r="S41" s="121">
        <f t="shared" si="4"/>
        <v>121.33764543337394</v>
      </c>
      <c r="T41" s="121">
        <f t="shared" si="4"/>
        <v>121.80378422124714</v>
      </c>
      <c r="U41" s="121">
        <f t="shared" si="4"/>
        <v>122.27171375896376</v>
      </c>
      <c r="V41" s="121">
        <f t="shared" si="4"/>
        <v>122.74144092598777</v>
      </c>
      <c r="W41" s="121">
        <f t="shared" si="4"/>
        <v>123.21297262821179</v>
      </c>
      <c r="X41" s="121">
        <f t="shared" si="4"/>
        <v>123.6863157980585</v>
      </c>
      <c r="Y41" s="121">
        <f t="shared" si="4"/>
        <v>124.1614773945827</v>
      </c>
      <c r="Z41" s="121">
        <f t="shared" si="4"/>
        <v>124.63846440357356</v>
      </c>
      <c r="AA41" s="121">
        <f t="shared" si="4"/>
        <v>125.11728383765728</v>
      </c>
      <c r="AB41" s="121">
        <f t="shared" si="4"/>
        <v>125.59794273640028</v>
      </c>
      <c r="AC41" s="121">
        <f t="shared" si="4"/>
        <v>126.08044816641264</v>
      </c>
      <c r="AD41" s="121">
        <f t="shared" si="4"/>
        <v>126.56480722145193</v>
      </c>
      <c r="AE41" s="121">
        <f t="shared" si="4"/>
        <v>127.05102702252768</v>
      </c>
      <c r="AF41" s="121">
        <f t="shared" si="4"/>
        <v>127.53911471800589</v>
      </c>
      <c r="AG41" s="121">
        <f t="shared" si="4"/>
        <v>128.02907748371422</v>
      </c>
      <c r="AH41" s="121">
        <f t="shared" si="4"/>
        <v>128.52092252304749</v>
      </c>
      <c r="AI41" s="121">
        <f t="shared" si="4"/>
        <v>129.01465706707353</v>
      </c>
      <c r="AJ41" s="121">
        <f t="shared" si="4"/>
        <v>129.51028837463952</v>
      </c>
      <c r="AK41" s="121">
        <f t="shared" si="4"/>
        <v>130.00782373247878</v>
      </c>
      <c r="AL41" s="121">
        <f t="shared" si="4"/>
        <v>130.50727045531772</v>
      </c>
      <c r="AM41" s="121">
        <f t="shared" si="4"/>
        <v>131.00863588598355</v>
      </c>
      <c r="AN41" s="121">
        <f t="shared" si="4"/>
        <v>131.51192739551223</v>
      </c>
      <c r="AO41" s="121">
        <f t="shared" si="4"/>
        <v>132.01715238325664</v>
      </c>
      <c r="AP41" s="121">
        <f t="shared" si="4"/>
        <v>132.52431827699564</v>
      </c>
      <c r="AQ41" s="121">
        <f t="shared" si="4"/>
        <v>133.03343253304308</v>
      </c>
      <c r="AR41" s="121">
        <f t="shared" si="4"/>
        <v>133.54450263635755</v>
      </c>
      <c r="AS41" s="121">
        <f t="shared" si="4"/>
        <v>134.05753610065224</v>
      </c>
      <c r="AT41" s="121">
        <f t="shared" si="4"/>
        <v>134.57254046850557</v>
      </c>
      <c r="AU41" s="121" t="str">
        <f t="shared" si="4"/>
        <v/>
      </c>
      <c r="AV41" s="121" t="str">
        <f t="shared" si="4"/>
        <v/>
      </c>
      <c r="AW41" s="121" t="str">
        <f t="shared" si="4"/>
        <v/>
      </c>
      <c r="AX41" s="121" t="str">
        <f t="shared" si="4"/>
        <v/>
      </c>
      <c r="AY41" s="121" t="str">
        <f t="shared" si="4"/>
        <v/>
      </c>
      <c r="AZ41" s="121" t="str">
        <f t="shared" si="4"/>
        <v/>
      </c>
      <c r="BA41" s="121" t="str">
        <f t="shared" si="4"/>
        <v/>
      </c>
      <c r="BB41" s="121" t="str">
        <f t="shared" si="4"/>
        <v/>
      </c>
      <c r="BC41" s="121" t="str">
        <f t="shared" si="4"/>
        <v/>
      </c>
      <c r="BD41" s="121" t="str">
        <f t="shared" si="4"/>
        <v/>
      </c>
      <c r="BE41" s="121" t="str">
        <f t="shared" si="4"/>
        <v/>
      </c>
      <c r="BF41" s="121" t="str">
        <f t="shared" si="4"/>
        <v/>
      </c>
      <c r="BG41" s="121" t="str">
        <f t="shared" si="4"/>
        <v/>
      </c>
      <c r="BH41" s="121" t="str">
        <f t="shared" si="4"/>
        <v/>
      </c>
      <c r="BI41" s="121" t="str">
        <f t="shared" si="4"/>
        <v/>
      </c>
      <c r="BJ41" s="121" t="str">
        <f t="shared" si="4"/>
        <v/>
      </c>
      <c r="BK41" s="121" t="str">
        <f t="shared" si="4"/>
        <v/>
      </c>
      <c r="BL41" s="121" t="str">
        <f t="shared" si="4"/>
        <v/>
      </c>
      <c r="BM41" s="121" t="str">
        <f t="shared" si="4"/>
        <v/>
      </c>
      <c r="BN41" s="121" t="str">
        <f t="shared" si="4"/>
        <v/>
      </c>
      <c r="BO41" s="121" t="str">
        <f t="shared" si="4"/>
        <v/>
      </c>
      <c r="BP41" s="121" t="str">
        <f t="shared" si="4"/>
        <v/>
      </c>
      <c r="BQ41" s="121" t="str">
        <f t="shared" si="4"/>
        <v/>
      </c>
      <c r="BR41" s="121" t="str">
        <f t="shared" si="4"/>
        <v/>
      </c>
      <c r="BS41" s="121" t="str">
        <f t="shared" si="4"/>
        <v/>
      </c>
      <c r="BT41" s="121" t="str">
        <f t="shared" ref="BT41:CX41" si="5">IF(OR(BT39&gt;$D$17,BT39=""),"",(-PPMT($D$20,BT39,$D$17,$D$15,)))</f>
        <v/>
      </c>
      <c r="BU41" s="121" t="str">
        <f t="shared" si="5"/>
        <v/>
      </c>
      <c r="BV41" s="121" t="str">
        <f t="shared" si="5"/>
        <v/>
      </c>
      <c r="BW41" s="121" t="str">
        <f t="shared" si="5"/>
        <v/>
      </c>
      <c r="BX41" s="121" t="str">
        <f t="shared" si="5"/>
        <v/>
      </c>
      <c r="BY41" s="121" t="str">
        <f t="shared" si="5"/>
        <v/>
      </c>
      <c r="BZ41" s="121" t="str">
        <f t="shared" si="5"/>
        <v/>
      </c>
      <c r="CA41" s="121" t="str">
        <f t="shared" si="5"/>
        <v/>
      </c>
      <c r="CB41" s="121" t="str">
        <f t="shared" si="5"/>
        <v/>
      </c>
      <c r="CC41" s="121" t="str">
        <f t="shared" si="5"/>
        <v/>
      </c>
      <c r="CD41" s="121" t="str">
        <f t="shared" si="5"/>
        <v/>
      </c>
      <c r="CE41" s="121" t="str">
        <f t="shared" si="5"/>
        <v/>
      </c>
      <c r="CF41" s="121" t="str">
        <f t="shared" si="5"/>
        <v/>
      </c>
      <c r="CG41" s="121" t="str">
        <f t="shared" si="5"/>
        <v/>
      </c>
      <c r="CH41" s="121" t="str">
        <f t="shared" si="5"/>
        <v/>
      </c>
      <c r="CI41" s="121" t="str">
        <f t="shared" si="5"/>
        <v/>
      </c>
      <c r="CJ41" s="121" t="str">
        <f t="shared" si="5"/>
        <v/>
      </c>
      <c r="CK41" s="121" t="str">
        <f t="shared" si="5"/>
        <v/>
      </c>
      <c r="CL41" s="121" t="str">
        <f t="shared" si="5"/>
        <v/>
      </c>
      <c r="CM41" s="121" t="str">
        <f t="shared" si="5"/>
        <v/>
      </c>
      <c r="CN41" s="121" t="str">
        <f t="shared" si="5"/>
        <v/>
      </c>
      <c r="CO41" s="121" t="str">
        <f t="shared" si="5"/>
        <v/>
      </c>
      <c r="CP41" s="121" t="str">
        <f t="shared" si="5"/>
        <v/>
      </c>
      <c r="CQ41" s="121" t="str">
        <f t="shared" si="5"/>
        <v/>
      </c>
      <c r="CR41" s="121" t="str">
        <f t="shared" si="5"/>
        <v/>
      </c>
      <c r="CS41" s="121" t="str">
        <f t="shared" si="5"/>
        <v/>
      </c>
      <c r="CT41" s="121" t="str">
        <f t="shared" si="5"/>
        <v/>
      </c>
      <c r="CU41" s="121" t="str">
        <f t="shared" si="5"/>
        <v/>
      </c>
      <c r="CV41" s="121" t="str">
        <f t="shared" si="5"/>
        <v/>
      </c>
      <c r="CW41" s="121" t="str">
        <f t="shared" si="5"/>
        <v/>
      </c>
      <c r="CX41" s="122" t="str">
        <f t="shared" si="5"/>
        <v/>
      </c>
    </row>
    <row r="42" spans="2:102">
      <c r="B42" s="89" t="s">
        <v>56</v>
      </c>
      <c r="C42" s="123" t="s">
        <v>57</v>
      </c>
      <c r="D42" s="124">
        <f>D20</f>
        <v>3.8416666666666668E-3</v>
      </c>
      <c r="E42" s="115">
        <f>NPV($D$34,G42:CX42)</f>
        <v>350.14700679986947</v>
      </c>
      <c r="F42" s="116"/>
      <c r="G42" s="117">
        <f>IF(OR(G39&gt;$D$17,G39=""),"",-IPMT($D$20,G39,$D$17,$D$15))</f>
        <v>19.208333333333336</v>
      </c>
      <c r="H42" s="117">
        <f t="shared" ref="H42:BS42" si="6">IF(OR(H39&gt;$D$17,H39=""),"",-IPMT($D$20,H39,$D$17,$D$15))</f>
        <v>18.763156428500647</v>
      </c>
      <c r="I42" s="117">
        <f t="shared" si="6"/>
        <v>18.316269302391905</v>
      </c>
      <c r="J42" s="117">
        <f t="shared" si="6"/>
        <v>17.867665384907021</v>
      </c>
      <c r="K42" s="117">
        <f t="shared" si="6"/>
        <v>17.4173380807058</v>
      </c>
      <c r="L42" s="117">
        <f t="shared" si="6"/>
        <v>16.96528076911094</v>
      </c>
      <c r="M42" s="117">
        <f t="shared" si="6"/>
        <v>16.511486804010698</v>
      </c>
      <c r="N42" s="117">
        <f t="shared" si="6"/>
        <v>16.055949513761206</v>
      </c>
      <c r="O42" s="117">
        <f t="shared" si="6"/>
        <v>15.598662201088331</v>
      </c>
      <c r="P42" s="117">
        <f t="shared" si="6"/>
        <v>15.139618142989272</v>
      </c>
      <c r="Q42" s="117">
        <f t="shared" si="6"/>
        <v>14.678810590633686</v>
      </c>
      <c r="R42" s="117">
        <f t="shared" si="6"/>
        <v>14.216232769264463</v>
      </c>
      <c r="S42" s="117">
        <f t="shared" si="6"/>
        <v>13.751877878098151</v>
      </c>
      <c r="T42" s="117">
        <f t="shared" si="6"/>
        <v>13.285739090224936</v>
      </c>
      <c r="U42" s="117">
        <f t="shared" si="6"/>
        <v>12.817809552508313</v>
      </c>
      <c r="V42" s="117">
        <f t="shared" si="6"/>
        <v>12.348082385484297</v>
      </c>
      <c r="W42" s="117">
        <f t="shared" si="6"/>
        <v>11.876550683260293</v>
      </c>
      <c r="X42" s="117">
        <f t="shared" si="6"/>
        <v>11.403207513413578</v>
      </c>
      <c r="Y42" s="117">
        <f t="shared" si="6"/>
        <v>10.928045916889371</v>
      </c>
      <c r="Z42" s="117">
        <f t="shared" si="6"/>
        <v>10.451058907898517</v>
      </c>
      <c r="AA42" s="117">
        <f t="shared" si="6"/>
        <v>9.9722394738147884</v>
      </c>
      <c r="AB42" s="117">
        <f t="shared" si="6"/>
        <v>9.4915805750717883</v>
      </c>
      <c r="AC42" s="117">
        <f t="shared" si="6"/>
        <v>9.00907514505945</v>
      </c>
      <c r="AD42" s="117">
        <f t="shared" si="6"/>
        <v>8.5247160900201475</v>
      </c>
      <c r="AE42" s="117">
        <f t="shared" si="6"/>
        <v>8.0384962889444047</v>
      </c>
      <c r="AF42" s="117">
        <f t="shared" si="6"/>
        <v>7.5504085934661926</v>
      </c>
      <c r="AG42" s="117">
        <f t="shared" si="6"/>
        <v>7.060445827757853</v>
      </c>
      <c r="AH42" s="117">
        <f t="shared" si="6"/>
        <v>6.5686007884245852</v>
      </c>
      <c r="AI42" s="117">
        <f t="shared" si="6"/>
        <v>6.0748662443985424</v>
      </c>
      <c r="AJ42" s="117">
        <f t="shared" si="6"/>
        <v>5.5792349368325356</v>
      </c>
      <c r="AK42" s="117">
        <f t="shared" si="6"/>
        <v>5.0816995789932955</v>
      </c>
      <c r="AL42" s="117">
        <f t="shared" si="6"/>
        <v>4.5822528561543567</v>
      </c>
      <c r="AM42" s="117">
        <f t="shared" si="6"/>
        <v>4.0808874254885108</v>
      </c>
      <c r="AN42" s="117">
        <f t="shared" si="6"/>
        <v>3.5775959159598574</v>
      </c>
      <c r="AO42" s="117">
        <f t="shared" si="6"/>
        <v>3.0723709282154315</v>
      </c>
      <c r="AP42" s="117">
        <f t="shared" si="6"/>
        <v>2.5652050344764206</v>
      </c>
      <c r="AQ42" s="117">
        <f t="shared" si="6"/>
        <v>2.0560907784289619</v>
      </c>
      <c r="AR42" s="117">
        <f t="shared" si="6"/>
        <v>1.5450206751145215</v>
      </c>
      <c r="AS42" s="117">
        <f t="shared" si="6"/>
        <v>1.0319872108198478</v>
      </c>
      <c r="AT42" s="117">
        <f t="shared" si="6"/>
        <v>0.51698284296650887</v>
      </c>
      <c r="AU42" s="117" t="str">
        <f t="shared" si="6"/>
        <v/>
      </c>
      <c r="AV42" s="117" t="str">
        <f t="shared" si="6"/>
        <v/>
      </c>
      <c r="AW42" s="117" t="str">
        <f t="shared" si="6"/>
        <v/>
      </c>
      <c r="AX42" s="117" t="str">
        <f t="shared" si="6"/>
        <v/>
      </c>
      <c r="AY42" s="117" t="str">
        <f t="shared" si="6"/>
        <v/>
      </c>
      <c r="AZ42" s="117" t="str">
        <f t="shared" si="6"/>
        <v/>
      </c>
      <c r="BA42" s="117" t="str">
        <f t="shared" si="6"/>
        <v/>
      </c>
      <c r="BB42" s="117" t="str">
        <f t="shared" si="6"/>
        <v/>
      </c>
      <c r="BC42" s="117" t="str">
        <f t="shared" si="6"/>
        <v/>
      </c>
      <c r="BD42" s="117" t="str">
        <f t="shared" si="6"/>
        <v/>
      </c>
      <c r="BE42" s="117" t="str">
        <f t="shared" si="6"/>
        <v/>
      </c>
      <c r="BF42" s="117" t="str">
        <f t="shared" si="6"/>
        <v/>
      </c>
      <c r="BG42" s="117" t="str">
        <f t="shared" si="6"/>
        <v/>
      </c>
      <c r="BH42" s="117" t="str">
        <f t="shared" si="6"/>
        <v/>
      </c>
      <c r="BI42" s="117" t="str">
        <f t="shared" si="6"/>
        <v/>
      </c>
      <c r="BJ42" s="117" t="str">
        <f t="shared" si="6"/>
        <v/>
      </c>
      <c r="BK42" s="117" t="str">
        <f t="shared" si="6"/>
        <v/>
      </c>
      <c r="BL42" s="117" t="str">
        <f t="shared" si="6"/>
        <v/>
      </c>
      <c r="BM42" s="117" t="str">
        <f t="shared" si="6"/>
        <v/>
      </c>
      <c r="BN42" s="117" t="str">
        <f t="shared" si="6"/>
        <v/>
      </c>
      <c r="BO42" s="117" t="str">
        <f t="shared" si="6"/>
        <v/>
      </c>
      <c r="BP42" s="117" t="str">
        <f t="shared" si="6"/>
        <v/>
      </c>
      <c r="BQ42" s="117" t="str">
        <f t="shared" si="6"/>
        <v/>
      </c>
      <c r="BR42" s="117" t="str">
        <f t="shared" si="6"/>
        <v/>
      </c>
      <c r="BS42" s="117" t="str">
        <f t="shared" si="6"/>
        <v/>
      </c>
      <c r="BT42" s="117" t="str">
        <f t="shared" ref="BT42:CX42" si="7">IF(OR(BT39&gt;$D$17,BT39=""),"",-IPMT($D$20,BT39,$D$17,$D$15))</f>
        <v/>
      </c>
      <c r="BU42" s="117" t="str">
        <f t="shared" si="7"/>
        <v/>
      </c>
      <c r="BV42" s="117" t="str">
        <f t="shared" si="7"/>
        <v/>
      </c>
      <c r="BW42" s="117" t="str">
        <f t="shared" si="7"/>
        <v/>
      </c>
      <c r="BX42" s="117" t="str">
        <f t="shared" si="7"/>
        <v/>
      </c>
      <c r="BY42" s="117" t="str">
        <f t="shared" si="7"/>
        <v/>
      </c>
      <c r="BZ42" s="117" t="str">
        <f t="shared" si="7"/>
        <v/>
      </c>
      <c r="CA42" s="117" t="str">
        <f t="shared" si="7"/>
        <v/>
      </c>
      <c r="CB42" s="117" t="str">
        <f t="shared" si="7"/>
        <v/>
      </c>
      <c r="CC42" s="117" t="str">
        <f t="shared" si="7"/>
        <v/>
      </c>
      <c r="CD42" s="117" t="str">
        <f t="shared" si="7"/>
        <v/>
      </c>
      <c r="CE42" s="117" t="str">
        <f t="shared" si="7"/>
        <v/>
      </c>
      <c r="CF42" s="117" t="str">
        <f t="shared" si="7"/>
        <v/>
      </c>
      <c r="CG42" s="117" t="str">
        <f t="shared" si="7"/>
        <v/>
      </c>
      <c r="CH42" s="117" t="str">
        <f t="shared" si="7"/>
        <v/>
      </c>
      <c r="CI42" s="117" t="str">
        <f t="shared" si="7"/>
        <v/>
      </c>
      <c r="CJ42" s="117" t="str">
        <f t="shared" si="7"/>
        <v/>
      </c>
      <c r="CK42" s="117" t="str">
        <f t="shared" si="7"/>
        <v/>
      </c>
      <c r="CL42" s="117" t="str">
        <f t="shared" si="7"/>
        <v/>
      </c>
      <c r="CM42" s="117" t="str">
        <f t="shared" si="7"/>
        <v/>
      </c>
      <c r="CN42" s="117" t="str">
        <f t="shared" si="7"/>
        <v/>
      </c>
      <c r="CO42" s="117" t="str">
        <f t="shared" si="7"/>
        <v/>
      </c>
      <c r="CP42" s="117" t="str">
        <f t="shared" si="7"/>
        <v/>
      </c>
      <c r="CQ42" s="117" t="str">
        <f t="shared" si="7"/>
        <v/>
      </c>
      <c r="CR42" s="117" t="str">
        <f t="shared" si="7"/>
        <v/>
      </c>
      <c r="CS42" s="117" t="str">
        <f t="shared" si="7"/>
        <v/>
      </c>
      <c r="CT42" s="117" t="str">
        <f t="shared" si="7"/>
        <v/>
      </c>
      <c r="CU42" s="117" t="str">
        <f t="shared" si="7"/>
        <v/>
      </c>
      <c r="CV42" s="117" t="str">
        <f t="shared" si="7"/>
        <v/>
      </c>
      <c r="CW42" s="117" t="str">
        <f t="shared" si="7"/>
        <v/>
      </c>
      <c r="CX42" s="118" t="str">
        <f t="shared" si="7"/>
        <v/>
      </c>
    </row>
    <row r="43" spans="2:102">
      <c r="B43" s="93"/>
      <c r="C43" s="55" t="s">
        <v>58</v>
      </c>
      <c r="D43" s="125">
        <f>D21</f>
        <v>0</v>
      </c>
      <c r="E43" s="62">
        <f>NPV($D$34,G43:CX43)</f>
        <v>0</v>
      </c>
      <c r="F43" s="120"/>
      <c r="G43" s="121">
        <f>IF(OR(G39&gt;$D$17,G39=""),"",$D$43*G40)</f>
        <v>0</v>
      </c>
      <c r="H43" s="121">
        <f t="shared" ref="H43:BS43" si="8">IF(OR(H39&gt;$D$17,H39=""),"",$D$43*H40)</f>
        <v>0</v>
      </c>
      <c r="I43" s="121">
        <f t="shared" si="8"/>
        <v>0</v>
      </c>
      <c r="J43" s="121">
        <f t="shared" si="8"/>
        <v>0</v>
      </c>
      <c r="K43" s="121">
        <f t="shared" si="8"/>
        <v>0</v>
      </c>
      <c r="L43" s="121">
        <f t="shared" si="8"/>
        <v>0</v>
      </c>
      <c r="M43" s="121">
        <f t="shared" si="8"/>
        <v>0</v>
      </c>
      <c r="N43" s="121">
        <f t="shared" si="8"/>
        <v>0</v>
      </c>
      <c r="O43" s="121">
        <f t="shared" si="8"/>
        <v>0</v>
      </c>
      <c r="P43" s="121">
        <f t="shared" si="8"/>
        <v>0</v>
      </c>
      <c r="Q43" s="121">
        <f t="shared" si="8"/>
        <v>0</v>
      </c>
      <c r="R43" s="121">
        <f t="shared" si="8"/>
        <v>0</v>
      </c>
      <c r="S43" s="121">
        <f t="shared" si="8"/>
        <v>0</v>
      </c>
      <c r="T43" s="121">
        <f t="shared" si="8"/>
        <v>0</v>
      </c>
      <c r="U43" s="121">
        <f t="shared" si="8"/>
        <v>0</v>
      </c>
      <c r="V43" s="121">
        <f t="shared" si="8"/>
        <v>0</v>
      </c>
      <c r="W43" s="121">
        <f t="shared" si="8"/>
        <v>0</v>
      </c>
      <c r="X43" s="121">
        <f t="shared" si="8"/>
        <v>0</v>
      </c>
      <c r="Y43" s="121">
        <f t="shared" si="8"/>
        <v>0</v>
      </c>
      <c r="Z43" s="121">
        <f t="shared" si="8"/>
        <v>0</v>
      </c>
      <c r="AA43" s="121">
        <f t="shared" si="8"/>
        <v>0</v>
      </c>
      <c r="AB43" s="121">
        <f t="shared" si="8"/>
        <v>0</v>
      </c>
      <c r="AC43" s="121">
        <f t="shared" si="8"/>
        <v>0</v>
      </c>
      <c r="AD43" s="121">
        <f t="shared" si="8"/>
        <v>0</v>
      </c>
      <c r="AE43" s="121">
        <f t="shared" si="8"/>
        <v>0</v>
      </c>
      <c r="AF43" s="121">
        <f t="shared" si="8"/>
        <v>0</v>
      </c>
      <c r="AG43" s="121">
        <f t="shared" si="8"/>
        <v>0</v>
      </c>
      <c r="AH43" s="121">
        <f t="shared" si="8"/>
        <v>0</v>
      </c>
      <c r="AI43" s="121">
        <f t="shared" si="8"/>
        <v>0</v>
      </c>
      <c r="AJ43" s="121">
        <f t="shared" si="8"/>
        <v>0</v>
      </c>
      <c r="AK43" s="121">
        <f t="shared" si="8"/>
        <v>0</v>
      </c>
      <c r="AL43" s="121">
        <f t="shared" si="8"/>
        <v>0</v>
      </c>
      <c r="AM43" s="121">
        <f t="shared" si="8"/>
        <v>0</v>
      </c>
      <c r="AN43" s="121">
        <f t="shared" si="8"/>
        <v>0</v>
      </c>
      <c r="AO43" s="121">
        <f t="shared" si="8"/>
        <v>0</v>
      </c>
      <c r="AP43" s="121">
        <f t="shared" si="8"/>
        <v>0</v>
      </c>
      <c r="AQ43" s="121">
        <f t="shared" si="8"/>
        <v>0</v>
      </c>
      <c r="AR43" s="121">
        <f t="shared" si="8"/>
        <v>0</v>
      </c>
      <c r="AS43" s="121">
        <f t="shared" si="8"/>
        <v>0</v>
      </c>
      <c r="AT43" s="121">
        <f t="shared" si="8"/>
        <v>0</v>
      </c>
      <c r="AU43" s="121" t="str">
        <f t="shared" si="8"/>
        <v/>
      </c>
      <c r="AV43" s="121" t="str">
        <f t="shared" si="8"/>
        <v/>
      </c>
      <c r="AW43" s="121" t="str">
        <f t="shared" si="8"/>
        <v/>
      </c>
      <c r="AX43" s="121" t="str">
        <f t="shared" si="8"/>
        <v/>
      </c>
      <c r="AY43" s="121" t="str">
        <f t="shared" si="8"/>
        <v/>
      </c>
      <c r="AZ43" s="121" t="str">
        <f t="shared" si="8"/>
        <v/>
      </c>
      <c r="BA43" s="121" t="str">
        <f t="shared" si="8"/>
        <v/>
      </c>
      <c r="BB43" s="121" t="str">
        <f t="shared" si="8"/>
        <v/>
      </c>
      <c r="BC43" s="121" t="str">
        <f t="shared" si="8"/>
        <v/>
      </c>
      <c r="BD43" s="121" t="str">
        <f t="shared" si="8"/>
        <v/>
      </c>
      <c r="BE43" s="121" t="str">
        <f t="shared" si="8"/>
        <v/>
      </c>
      <c r="BF43" s="121" t="str">
        <f t="shared" si="8"/>
        <v/>
      </c>
      <c r="BG43" s="121" t="str">
        <f t="shared" si="8"/>
        <v/>
      </c>
      <c r="BH43" s="121" t="str">
        <f t="shared" si="8"/>
        <v/>
      </c>
      <c r="BI43" s="121" t="str">
        <f t="shared" si="8"/>
        <v/>
      </c>
      <c r="BJ43" s="121" t="str">
        <f t="shared" si="8"/>
        <v/>
      </c>
      <c r="BK43" s="121" t="str">
        <f t="shared" si="8"/>
        <v/>
      </c>
      <c r="BL43" s="121" t="str">
        <f t="shared" si="8"/>
        <v/>
      </c>
      <c r="BM43" s="121" t="str">
        <f t="shared" si="8"/>
        <v/>
      </c>
      <c r="BN43" s="121" t="str">
        <f t="shared" si="8"/>
        <v/>
      </c>
      <c r="BO43" s="121" t="str">
        <f t="shared" si="8"/>
        <v/>
      </c>
      <c r="BP43" s="121" t="str">
        <f t="shared" si="8"/>
        <v/>
      </c>
      <c r="BQ43" s="121" t="str">
        <f t="shared" si="8"/>
        <v/>
      </c>
      <c r="BR43" s="121" t="str">
        <f t="shared" si="8"/>
        <v/>
      </c>
      <c r="BS43" s="121" t="str">
        <f t="shared" si="8"/>
        <v/>
      </c>
      <c r="BT43" s="121" t="str">
        <f t="shared" ref="BT43:CX43" si="9">IF(OR(BT39&gt;$D$17,BT39=""),"",$D$43*BT40)</f>
        <v/>
      </c>
      <c r="BU43" s="121" t="str">
        <f t="shared" si="9"/>
        <v/>
      </c>
      <c r="BV43" s="121" t="str">
        <f t="shared" si="9"/>
        <v/>
      </c>
      <c r="BW43" s="121" t="str">
        <f t="shared" si="9"/>
        <v/>
      </c>
      <c r="BX43" s="121" t="str">
        <f t="shared" si="9"/>
        <v/>
      </c>
      <c r="BY43" s="121" t="str">
        <f t="shared" si="9"/>
        <v/>
      </c>
      <c r="BZ43" s="121" t="str">
        <f t="shared" si="9"/>
        <v/>
      </c>
      <c r="CA43" s="121" t="str">
        <f t="shared" si="9"/>
        <v/>
      </c>
      <c r="CB43" s="121" t="str">
        <f t="shared" si="9"/>
        <v/>
      </c>
      <c r="CC43" s="121" t="str">
        <f t="shared" si="9"/>
        <v/>
      </c>
      <c r="CD43" s="121" t="str">
        <f t="shared" si="9"/>
        <v/>
      </c>
      <c r="CE43" s="121" t="str">
        <f t="shared" si="9"/>
        <v/>
      </c>
      <c r="CF43" s="121" t="str">
        <f t="shared" si="9"/>
        <v/>
      </c>
      <c r="CG43" s="121" t="str">
        <f t="shared" si="9"/>
        <v/>
      </c>
      <c r="CH43" s="121" t="str">
        <f t="shared" si="9"/>
        <v/>
      </c>
      <c r="CI43" s="121" t="str">
        <f t="shared" si="9"/>
        <v/>
      </c>
      <c r="CJ43" s="121" t="str">
        <f t="shared" si="9"/>
        <v/>
      </c>
      <c r="CK43" s="121" t="str">
        <f t="shared" si="9"/>
        <v/>
      </c>
      <c r="CL43" s="121" t="str">
        <f t="shared" si="9"/>
        <v/>
      </c>
      <c r="CM43" s="121" t="str">
        <f t="shared" si="9"/>
        <v/>
      </c>
      <c r="CN43" s="121" t="str">
        <f t="shared" si="9"/>
        <v/>
      </c>
      <c r="CO43" s="121" t="str">
        <f t="shared" si="9"/>
        <v/>
      </c>
      <c r="CP43" s="121" t="str">
        <f t="shared" si="9"/>
        <v/>
      </c>
      <c r="CQ43" s="121" t="str">
        <f t="shared" si="9"/>
        <v/>
      </c>
      <c r="CR43" s="121" t="str">
        <f t="shared" si="9"/>
        <v/>
      </c>
      <c r="CS43" s="121" t="str">
        <f t="shared" si="9"/>
        <v/>
      </c>
      <c r="CT43" s="121" t="str">
        <f t="shared" si="9"/>
        <v/>
      </c>
      <c r="CU43" s="121" t="str">
        <f t="shared" si="9"/>
        <v/>
      </c>
      <c r="CV43" s="121" t="str">
        <f t="shared" si="9"/>
        <v/>
      </c>
      <c r="CW43" s="121" t="str">
        <f t="shared" si="9"/>
        <v/>
      </c>
      <c r="CX43" s="122" t="str">
        <f t="shared" si="9"/>
        <v/>
      </c>
    </row>
    <row r="44" spans="2:102">
      <c r="B44" s="95"/>
      <c r="C44" s="66" t="s">
        <v>59</v>
      </c>
      <c r="D44" s="66"/>
      <c r="E44" s="126">
        <f>NPV($D$34,G44:CX44)</f>
        <v>350.14700679986947</v>
      </c>
      <c r="F44" s="127"/>
      <c r="G44" s="128">
        <f>IF(OR(G39&gt;$D$17,G39=""),"",SUM(G42:G43))</f>
        <v>19.208333333333336</v>
      </c>
      <c r="H44" s="128">
        <f t="shared" ref="H44:BS44" si="10">IF(OR(H39&gt;$D$17,H39=""),"",SUM(H42:H43))</f>
        <v>18.763156428500647</v>
      </c>
      <c r="I44" s="128">
        <f t="shared" si="10"/>
        <v>18.316269302391905</v>
      </c>
      <c r="J44" s="128">
        <f t="shared" si="10"/>
        <v>17.867665384907021</v>
      </c>
      <c r="K44" s="128">
        <f t="shared" si="10"/>
        <v>17.4173380807058</v>
      </c>
      <c r="L44" s="128">
        <f t="shared" si="10"/>
        <v>16.96528076911094</v>
      </c>
      <c r="M44" s="128">
        <f t="shared" si="10"/>
        <v>16.511486804010698</v>
      </c>
      <c r="N44" s="128">
        <f t="shared" si="10"/>
        <v>16.055949513761206</v>
      </c>
      <c r="O44" s="128">
        <f t="shared" si="10"/>
        <v>15.598662201088331</v>
      </c>
      <c r="P44" s="128">
        <f t="shared" si="10"/>
        <v>15.139618142989272</v>
      </c>
      <c r="Q44" s="128">
        <f t="shared" si="10"/>
        <v>14.678810590633686</v>
      </c>
      <c r="R44" s="128">
        <f t="shared" si="10"/>
        <v>14.216232769264463</v>
      </c>
      <c r="S44" s="128">
        <f t="shared" si="10"/>
        <v>13.751877878098151</v>
      </c>
      <c r="T44" s="128">
        <f t="shared" si="10"/>
        <v>13.285739090224936</v>
      </c>
      <c r="U44" s="128">
        <f t="shared" si="10"/>
        <v>12.817809552508313</v>
      </c>
      <c r="V44" s="128">
        <f t="shared" si="10"/>
        <v>12.348082385484297</v>
      </c>
      <c r="W44" s="128">
        <f t="shared" si="10"/>
        <v>11.876550683260293</v>
      </c>
      <c r="X44" s="128">
        <f t="shared" si="10"/>
        <v>11.403207513413578</v>
      </c>
      <c r="Y44" s="128">
        <f t="shared" si="10"/>
        <v>10.928045916889371</v>
      </c>
      <c r="Z44" s="128">
        <f t="shared" si="10"/>
        <v>10.451058907898517</v>
      </c>
      <c r="AA44" s="128">
        <f t="shared" si="10"/>
        <v>9.9722394738147884</v>
      </c>
      <c r="AB44" s="128">
        <f t="shared" si="10"/>
        <v>9.4915805750717883</v>
      </c>
      <c r="AC44" s="128">
        <f t="shared" si="10"/>
        <v>9.00907514505945</v>
      </c>
      <c r="AD44" s="128">
        <f t="shared" si="10"/>
        <v>8.5247160900201475</v>
      </c>
      <c r="AE44" s="128">
        <f t="shared" si="10"/>
        <v>8.0384962889444047</v>
      </c>
      <c r="AF44" s="128">
        <f t="shared" si="10"/>
        <v>7.5504085934661926</v>
      </c>
      <c r="AG44" s="128">
        <f t="shared" si="10"/>
        <v>7.060445827757853</v>
      </c>
      <c r="AH44" s="128">
        <f t="shared" si="10"/>
        <v>6.5686007884245852</v>
      </c>
      <c r="AI44" s="128">
        <f t="shared" si="10"/>
        <v>6.0748662443985424</v>
      </c>
      <c r="AJ44" s="128">
        <f t="shared" si="10"/>
        <v>5.5792349368325356</v>
      </c>
      <c r="AK44" s="128">
        <f t="shared" si="10"/>
        <v>5.0816995789932955</v>
      </c>
      <c r="AL44" s="128">
        <f t="shared" si="10"/>
        <v>4.5822528561543567</v>
      </c>
      <c r="AM44" s="128">
        <f t="shared" si="10"/>
        <v>4.0808874254885108</v>
      </c>
      <c r="AN44" s="128">
        <f t="shared" si="10"/>
        <v>3.5775959159598574</v>
      </c>
      <c r="AO44" s="128">
        <f t="shared" si="10"/>
        <v>3.0723709282154315</v>
      </c>
      <c r="AP44" s="128">
        <f t="shared" si="10"/>
        <v>2.5652050344764206</v>
      </c>
      <c r="AQ44" s="128">
        <f t="shared" si="10"/>
        <v>2.0560907784289619</v>
      </c>
      <c r="AR44" s="128">
        <f t="shared" si="10"/>
        <v>1.5450206751145215</v>
      </c>
      <c r="AS44" s="128">
        <f t="shared" si="10"/>
        <v>1.0319872108198478</v>
      </c>
      <c r="AT44" s="128">
        <f t="shared" si="10"/>
        <v>0.51698284296650887</v>
      </c>
      <c r="AU44" s="128" t="str">
        <f t="shared" si="10"/>
        <v/>
      </c>
      <c r="AV44" s="128" t="str">
        <f t="shared" si="10"/>
        <v/>
      </c>
      <c r="AW44" s="128" t="str">
        <f t="shared" si="10"/>
        <v/>
      </c>
      <c r="AX44" s="128" t="str">
        <f t="shared" si="10"/>
        <v/>
      </c>
      <c r="AY44" s="128" t="str">
        <f t="shared" si="10"/>
        <v/>
      </c>
      <c r="AZ44" s="128" t="str">
        <f t="shared" si="10"/>
        <v/>
      </c>
      <c r="BA44" s="128" t="str">
        <f t="shared" si="10"/>
        <v/>
      </c>
      <c r="BB44" s="128" t="str">
        <f t="shared" si="10"/>
        <v/>
      </c>
      <c r="BC44" s="128" t="str">
        <f t="shared" si="10"/>
        <v/>
      </c>
      <c r="BD44" s="128" t="str">
        <f t="shared" si="10"/>
        <v/>
      </c>
      <c r="BE44" s="128" t="str">
        <f t="shared" si="10"/>
        <v/>
      </c>
      <c r="BF44" s="128" t="str">
        <f t="shared" si="10"/>
        <v/>
      </c>
      <c r="BG44" s="128" t="str">
        <f t="shared" si="10"/>
        <v/>
      </c>
      <c r="BH44" s="128" t="str">
        <f t="shared" si="10"/>
        <v/>
      </c>
      <c r="BI44" s="128" t="str">
        <f t="shared" si="10"/>
        <v/>
      </c>
      <c r="BJ44" s="128" t="str">
        <f t="shared" si="10"/>
        <v/>
      </c>
      <c r="BK44" s="128" t="str">
        <f t="shared" si="10"/>
        <v/>
      </c>
      <c r="BL44" s="128" t="str">
        <f t="shared" si="10"/>
        <v/>
      </c>
      <c r="BM44" s="128" t="str">
        <f t="shared" si="10"/>
        <v/>
      </c>
      <c r="BN44" s="128" t="str">
        <f t="shared" si="10"/>
        <v/>
      </c>
      <c r="BO44" s="128" t="str">
        <f t="shared" si="10"/>
        <v/>
      </c>
      <c r="BP44" s="128" t="str">
        <f t="shared" si="10"/>
        <v/>
      </c>
      <c r="BQ44" s="128" t="str">
        <f t="shared" si="10"/>
        <v/>
      </c>
      <c r="BR44" s="128" t="str">
        <f t="shared" si="10"/>
        <v/>
      </c>
      <c r="BS44" s="128" t="str">
        <f t="shared" si="10"/>
        <v/>
      </c>
      <c r="BT44" s="128" t="str">
        <f t="shared" ref="BT44:CX44" si="11">IF(OR(BT39&gt;$D$17,BT39=""),"",SUM(BT42:BT43))</f>
        <v/>
      </c>
      <c r="BU44" s="128" t="str">
        <f t="shared" si="11"/>
        <v/>
      </c>
      <c r="BV44" s="128" t="str">
        <f t="shared" si="11"/>
        <v/>
      </c>
      <c r="BW44" s="128" t="str">
        <f t="shared" si="11"/>
        <v/>
      </c>
      <c r="BX44" s="128" t="str">
        <f t="shared" si="11"/>
        <v/>
      </c>
      <c r="BY44" s="128" t="str">
        <f t="shared" si="11"/>
        <v/>
      </c>
      <c r="BZ44" s="128" t="str">
        <f t="shared" si="11"/>
        <v/>
      </c>
      <c r="CA44" s="128" t="str">
        <f t="shared" si="11"/>
        <v/>
      </c>
      <c r="CB44" s="128" t="str">
        <f t="shared" si="11"/>
        <v/>
      </c>
      <c r="CC44" s="128" t="str">
        <f t="shared" si="11"/>
        <v/>
      </c>
      <c r="CD44" s="128" t="str">
        <f t="shared" si="11"/>
        <v/>
      </c>
      <c r="CE44" s="128" t="str">
        <f t="shared" si="11"/>
        <v/>
      </c>
      <c r="CF44" s="128" t="str">
        <f t="shared" si="11"/>
        <v/>
      </c>
      <c r="CG44" s="128" t="str">
        <f t="shared" si="11"/>
        <v/>
      </c>
      <c r="CH44" s="128" t="str">
        <f t="shared" si="11"/>
        <v/>
      </c>
      <c r="CI44" s="128" t="str">
        <f t="shared" si="11"/>
        <v/>
      </c>
      <c r="CJ44" s="128" t="str">
        <f t="shared" si="11"/>
        <v/>
      </c>
      <c r="CK44" s="128" t="str">
        <f t="shared" si="11"/>
        <v/>
      </c>
      <c r="CL44" s="128" t="str">
        <f t="shared" si="11"/>
        <v/>
      </c>
      <c r="CM44" s="128" t="str">
        <f t="shared" si="11"/>
        <v/>
      </c>
      <c r="CN44" s="128" t="str">
        <f t="shared" si="11"/>
        <v/>
      </c>
      <c r="CO44" s="128" t="str">
        <f t="shared" si="11"/>
        <v/>
      </c>
      <c r="CP44" s="128" t="str">
        <f t="shared" si="11"/>
        <v/>
      </c>
      <c r="CQ44" s="128" t="str">
        <f t="shared" si="11"/>
        <v/>
      </c>
      <c r="CR44" s="128" t="str">
        <f t="shared" si="11"/>
        <v/>
      </c>
      <c r="CS44" s="128" t="str">
        <f t="shared" si="11"/>
        <v/>
      </c>
      <c r="CT44" s="128" t="str">
        <f t="shared" si="11"/>
        <v/>
      </c>
      <c r="CU44" s="128" t="str">
        <f t="shared" si="11"/>
        <v/>
      </c>
      <c r="CV44" s="128" t="str">
        <f t="shared" si="11"/>
        <v/>
      </c>
      <c r="CW44" s="128" t="str">
        <f t="shared" si="11"/>
        <v/>
      </c>
      <c r="CX44" s="129" t="str">
        <f t="shared" si="11"/>
        <v/>
      </c>
    </row>
    <row r="45" spans="2:102">
      <c r="B45" s="93" t="s">
        <v>60</v>
      </c>
      <c r="C45" s="66" t="s">
        <v>61</v>
      </c>
      <c r="D45" s="130">
        <f>D23</f>
        <v>1.6666666666666668E-3</v>
      </c>
      <c r="E45" s="126">
        <f>NPV($D$34,G45:CX45)</f>
        <v>-151.9075951409412</v>
      </c>
      <c r="F45" s="131"/>
      <c r="G45" s="132">
        <f>IF(OR(G39&gt;$D$17,G39=""),"",-$D$45*G40)</f>
        <v>-8.3333333333333339</v>
      </c>
      <c r="H45" s="132">
        <f t="shared" ref="H45:BS45" si="12">IF(OR(H39&gt;$D$17,H39=""),"",-$D$45*H40)</f>
        <v>-8.1401980167031027</v>
      </c>
      <c r="I45" s="132">
        <f t="shared" si="12"/>
        <v>-7.9463207385648174</v>
      </c>
      <c r="J45" s="132">
        <f t="shared" si="12"/>
        <v>-7.7516986485496835</v>
      </c>
      <c r="K45" s="132">
        <f t="shared" si="12"/>
        <v>-7.5563288853387416</v>
      </c>
      <c r="L45" s="132">
        <f t="shared" si="12"/>
        <v>-7.3602085766207974</v>
      </c>
      <c r="M45" s="132">
        <f t="shared" si="12"/>
        <v>-7.1633348390501945</v>
      </c>
      <c r="N45" s="132">
        <f t="shared" si="12"/>
        <v>-6.965704778204425</v>
      </c>
      <c r="O45" s="132">
        <f t="shared" si="12"/>
        <v>-6.7673154885415743</v>
      </c>
      <c r="P45" s="132">
        <f t="shared" si="12"/>
        <v>-6.5681640533576013</v>
      </c>
      <c r="Q45" s="132">
        <f t="shared" si="12"/>
        <v>-6.368247544743463</v>
      </c>
      <c r="R45" s="132">
        <f t="shared" si="12"/>
        <v>-6.1675630235420655</v>
      </c>
      <c r="S45" s="132">
        <f t="shared" si="12"/>
        <v>-5.9661075393050531</v>
      </c>
      <c r="T45" s="132">
        <f t="shared" si="12"/>
        <v>-5.76387813024943</v>
      </c>
      <c r="U45" s="132">
        <f t="shared" si="12"/>
        <v>-5.5608718232140184</v>
      </c>
      <c r="V45" s="132">
        <f t="shared" si="12"/>
        <v>-5.3570856336157453</v>
      </c>
      <c r="W45" s="132">
        <f t="shared" si="12"/>
        <v>-5.1525165654057652</v>
      </c>
      <c r="X45" s="132">
        <f t="shared" si="12"/>
        <v>-4.947161611025412</v>
      </c>
      <c r="Y45" s="132">
        <f t="shared" si="12"/>
        <v>-4.7410177513619818</v>
      </c>
      <c r="Z45" s="132">
        <f t="shared" si="12"/>
        <v>-4.5340819557043437</v>
      </c>
      <c r="AA45" s="132">
        <f t="shared" si="12"/>
        <v>-4.3263511816983886</v>
      </c>
      <c r="AB45" s="132">
        <f t="shared" si="12"/>
        <v>-4.1178223753022927</v>
      </c>
      <c r="AC45" s="132">
        <f t="shared" si="12"/>
        <v>-3.9084924707416251</v>
      </c>
      <c r="AD45" s="132">
        <f t="shared" si="12"/>
        <v>-3.698358390464271</v>
      </c>
      <c r="AE45" s="132">
        <f t="shared" si="12"/>
        <v>-3.4874170450951838</v>
      </c>
      <c r="AF45" s="132">
        <f t="shared" si="12"/>
        <v>-3.2756653333909709</v>
      </c>
      <c r="AG45" s="132">
        <f t="shared" si="12"/>
        <v>-3.0631001421942945</v>
      </c>
      <c r="AH45" s="132">
        <f t="shared" si="12"/>
        <v>-2.8497183463881042</v>
      </c>
      <c r="AI45" s="132">
        <f t="shared" si="12"/>
        <v>-2.6355168088496916</v>
      </c>
      <c r="AJ45" s="132">
        <f t="shared" si="12"/>
        <v>-2.420492380404569</v>
      </c>
      <c r="AK45" s="132">
        <f t="shared" si="12"/>
        <v>-2.20464189978017</v>
      </c>
      <c r="AL45" s="132">
        <f t="shared" si="12"/>
        <v>-1.9879621935593719</v>
      </c>
      <c r="AM45" s="132">
        <f t="shared" si="12"/>
        <v>-1.7704500761338424</v>
      </c>
      <c r="AN45" s="132">
        <f t="shared" si="12"/>
        <v>-1.5521023496572033</v>
      </c>
      <c r="AO45" s="132">
        <f t="shared" si="12"/>
        <v>-1.3329158039980162</v>
      </c>
      <c r="AP45" s="132">
        <f t="shared" si="12"/>
        <v>-1.1128872166925885</v>
      </c>
      <c r="AQ45" s="132">
        <f t="shared" si="12"/>
        <v>-0.89201335289759576</v>
      </c>
      <c r="AR45" s="132">
        <f t="shared" si="12"/>
        <v>-0.67029096534252386</v>
      </c>
      <c r="AS45" s="132">
        <f t="shared" si="12"/>
        <v>-0.44771679428192795</v>
      </c>
      <c r="AT45" s="132">
        <f t="shared" si="12"/>
        <v>-0.22428756744750752</v>
      </c>
      <c r="AU45" s="132" t="str">
        <f t="shared" si="12"/>
        <v/>
      </c>
      <c r="AV45" s="132" t="str">
        <f t="shared" si="12"/>
        <v/>
      </c>
      <c r="AW45" s="132" t="str">
        <f t="shared" si="12"/>
        <v/>
      </c>
      <c r="AX45" s="132" t="str">
        <f t="shared" si="12"/>
        <v/>
      </c>
      <c r="AY45" s="132" t="str">
        <f t="shared" si="12"/>
        <v/>
      </c>
      <c r="AZ45" s="132" t="str">
        <f t="shared" si="12"/>
        <v/>
      </c>
      <c r="BA45" s="132" t="str">
        <f t="shared" si="12"/>
        <v/>
      </c>
      <c r="BB45" s="132" t="str">
        <f t="shared" si="12"/>
        <v/>
      </c>
      <c r="BC45" s="132" t="str">
        <f t="shared" si="12"/>
        <v/>
      </c>
      <c r="BD45" s="132" t="str">
        <f t="shared" si="12"/>
        <v/>
      </c>
      <c r="BE45" s="132" t="str">
        <f t="shared" si="12"/>
        <v/>
      </c>
      <c r="BF45" s="132" t="str">
        <f t="shared" si="12"/>
        <v/>
      </c>
      <c r="BG45" s="132" t="str">
        <f t="shared" si="12"/>
        <v/>
      </c>
      <c r="BH45" s="132" t="str">
        <f t="shared" si="12"/>
        <v/>
      </c>
      <c r="BI45" s="132" t="str">
        <f t="shared" si="12"/>
        <v/>
      </c>
      <c r="BJ45" s="132" t="str">
        <f t="shared" si="12"/>
        <v/>
      </c>
      <c r="BK45" s="132" t="str">
        <f t="shared" si="12"/>
        <v/>
      </c>
      <c r="BL45" s="132" t="str">
        <f t="shared" si="12"/>
        <v/>
      </c>
      <c r="BM45" s="132" t="str">
        <f t="shared" si="12"/>
        <v/>
      </c>
      <c r="BN45" s="132" t="str">
        <f t="shared" si="12"/>
        <v/>
      </c>
      <c r="BO45" s="132" t="str">
        <f t="shared" si="12"/>
        <v/>
      </c>
      <c r="BP45" s="132" t="str">
        <f t="shared" si="12"/>
        <v/>
      </c>
      <c r="BQ45" s="132" t="str">
        <f t="shared" si="12"/>
        <v/>
      </c>
      <c r="BR45" s="132" t="str">
        <f t="shared" si="12"/>
        <v/>
      </c>
      <c r="BS45" s="132" t="str">
        <f t="shared" si="12"/>
        <v/>
      </c>
      <c r="BT45" s="132" t="str">
        <f t="shared" ref="BT45:CX45" si="13">IF(OR(BT39&gt;$D$17,BT39=""),"",-$D$45*BT40)</f>
        <v/>
      </c>
      <c r="BU45" s="132" t="str">
        <f t="shared" si="13"/>
        <v/>
      </c>
      <c r="BV45" s="132" t="str">
        <f t="shared" si="13"/>
        <v/>
      </c>
      <c r="BW45" s="132" t="str">
        <f t="shared" si="13"/>
        <v/>
      </c>
      <c r="BX45" s="132" t="str">
        <f t="shared" si="13"/>
        <v/>
      </c>
      <c r="BY45" s="132" t="str">
        <f t="shared" si="13"/>
        <v/>
      </c>
      <c r="BZ45" s="132" t="str">
        <f t="shared" si="13"/>
        <v/>
      </c>
      <c r="CA45" s="132" t="str">
        <f t="shared" si="13"/>
        <v/>
      </c>
      <c r="CB45" s="132" t="str">
        <f t="shared" si="13"/>
        <v/>
      </c>
      <c r="CC45" s="132" t="str">
        <f t="shared" si="13"/>
        <v/>
      </c>
      <c r="CD45" s="132" t="str">
        <f t="shared" si="13"/>
        <v/>
      </c>
      <c r="CE45" s="132" t="str">
        <f t="shared" si="13"/>
        <v/>
      </c>
      <c r="CF45" s="132" t="str">
        <f t="shared" si="13"/>
        <v/>
      </c>
      <c r="CG45" s="132" t="str">
        <f t="shared" si="13"/>
        <v/>
      </c>
      <c r="CH45" s="132" t="str">
        <f t="shared" si="13"/>
        <v/>
      </c>
      <c r="CI45" s="132" t="str">
        <f t="shared" si="13"/>
        <v/>
      </c>
      <c r="CJ45" s="132" t="str">
        <f t="shared" si="13"/>
        <v/>
      </c>
      <c r="CK45" s="132" t="str">
        <f t="shared" si="13"/>
        <v/>
      </c>
      <c r="CL45" s="132" t="str">
        <f t="shared" si="13"/>
        <v/>
      </c>
      <c r="CM45" s="132" t="str">
        <f t="shared" si="13"/>
        <v/>
      </c>
      <c r="CN45" s="132" t="str">
        <f t="shared" si="13"/>
        <v/>
      </c>
      <c r="CO45" s="132" t="str">
        <f t="shared" si="13"/>
        <v/>
      </c>
      <c r="CP45" s="132" t="str">
        <f t="shared" si="13"/>
        <v/>
      </c>
      <c r="CQ45" s="132" t="str">
        <f t="shared" si="13"/>
        <v/>
      </c>
      <c r="CR45" s="132" t="str">
        <f t="shared" si="13"/>
        <v/>
      </c>
      <c r="CS45" s="132" t="str">
        <f t="shared" si="13"/>
        <v/>
      </c>
      <c r="CT45" s="132" t="str">
        <f t="shared" si="13"/>
        <v/>
      </c>
      <c r="CU45" s="132" t="str">
        <f t="shared" si="13"/>
        <v/>
      </c>
      <c r="CV45" s="132" t="str">
        <f t="shared" si="13"/>
        <v/>
      </c>
      <c r="CW45" s="132" t="str">
        <f t="shared" si="13"/>
        <v/>
      </c>
      <c r="CX45" s="133" t="str">
        <f t="shared" si="13"/>
        <v/>
      </c>
    </row>
    <row r="46" spans="2:102">
      <c r="B46" s="93"/>
      <c r="C46" s="55" t="s">
        <v>62</v>
      </c>
      <c r="D46" s="125">
        <f>D24</f>
        <v>7.1000000000000004E-3</v>
      </c>
      <c r="E46" s="62">
        <f>F46</f>
        <v>-35.5</v>
      </c>
      <c r="F46" s="134">
        <f>-$D$46*G40</f>
        <v>-35.5</v>
      </c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  <c r="BT46" s="135"/>
      <c r="BU46" s="135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CT46" s="135"/>
      <c r="CU46" s="135"/>
      <c r="CV46" s="135"/>
      <c r="CW46" s="135"/>
      <c r="CX46" s="136"/>
    </row>
    <row r="47" spans="2:102">
      <c r="B47" s="93"/>
      <c r="C47" s="55" t="s">
        <v>63</v>
      </c>
      <c r="D47" s="125">
        <f>D25</f>
        <v>1E-3</v>
      </c>
      <c r="E47" s="62">
        <f>NPV($D$34,G47:CX47)</f>
        <v>-91.144557084564738</v>
      </c>
      <c r="F47" s="137"/>
      <c r="G47" s="138">
        <f>IF(OR(G39&gt;$D$17,G39=""),"",-$D$47*G40)</f>
        <v>-5</v>
      </c>
      <c r="H47" s="138">
        <f t="shared" ref="H47:BS47" si="14">IF(OR(H39&gt;$D$17,H39=""),"",-$D$47*H40)</f>
        <v>-4.884118810021862</v>
      </c>
      <c r="I47" s="138">
        <f t="shared" si="14"/>
        <v>-4.7677924431388901</v>
      </c>
      <c r="J47" s="138">
        <f t="shared" si="14"/>
        <v>-4.6510191891298103</v>
      </c>
      <c r="K47" s="138">
        <f t="shared" si="14"/>
        <v>-4.5337973312032442</v>
      </c>
      <c r="L47" s="138">
        <f t="shared" si="14"/>
        <v>-4.4161251459724786</v>
      </c>
      <c r="M47" s="138">
        <f t="shared" si="14"/>
        <v>-4.2980009034301165</v>
      </c>
      <c r="N47" s="138">
        <f t="shared" si="14"/>
        <v>-4.1794228669226552</v>
      </c>
      <c r="O47" s="138">
        <f t="shared" si="14"/>
        <v>-4.0603892931249446</v>
      </c>
      <c r="P47" s="138">
        <f t="shared" si="14"/>
        <v>-3.9408984320145608</v>
      </c>
      <c r="Q47" s="138">
        <f t="shared" si="14"/>
        <v>-3.8209485268460774</v>
      </c>
      <c r="R47" s="138">
        <f t="shared" si="14"/>
        <v>-3.700537814125239</v>
      </c>
      <c r="S47" s="138">
        <f t="shared" si="14"/>
        <v>-3.5796645235830318</v>
      </c>
      <c r="T47" s="138">
        <f t="shared" si="14"/>
        <v>-3.4583268781496579</v>
      </c>
      <c r="U47" s="138">
        <f t="shared" si="14"/>
        <v>-3.3365230939284105</v>
      </c>
      <c r="V47" s="138">
        <f t="shared" si="14"/>
        <v>-3.214251380169447</v>
      </c>
      <c r="W47" s="138">
        <f t="shared" si="14"/>
        <v>-3.0915099392434593</v>
      </c>
      <c r="X47" s="138">
        <f t="shared" si="14"/>
        <v>-2.968296966615247</v>
      </c>
      <c r="Y47" s="138">
        <f t="shared" si="14"/>
        <v>-2.8446106508171889</v>
      </c>
      <c r="Z47" s="138">
        <f t="shared" si="14"/>
        <v>-2.7204491734226064</v>
      </c>
      <c r="AA47" s="138">
        <f t="shared" si="14"/>
        <v>-2.595810709019033</v>
      </c>
      <c r="AB47" s="138">
        <f t="shared" si="14"/>
        <v>-2.4706934251813757</v>
      </c>
      <c r="AC47" s="138">
        <f t="shared" si="14"/>
        <v>-2.3450954824449752</v>
      </c>
      <c r="AD47" s="138">
        <f t="shared" si="14"/>
        <v>-2.2190150342785624</v>
      </c>
      <c r="AE47" s="138">
        <f t="shared" si="14"/>
        <v>-2.0924502270571104</v>
      </c>
      <c r="AF47" s="138">
        <f t="shared" si="14"/>
        <v>-1.9653992000345826</v>
      </c>
      <c r="AG47" s="138">
        <f t="shared" si="14"/>
        <v>-1.8378600853165765</v>
      </c>
      <c r="AH47" s="138">
        <f t="shared" si="14"/>
        <v>-1.7098310078328622</v>
      </c>
      <c r="AI47" s="138">
        <f t="shared" si="14"/>
        <v>-1.581310085309815</v>
      </c>
      <c r="AJ47" s="138">
        <f t="shared" si="14"/>
        <v>-1.4522954282427414</v>
      </c>
      <c r="AK47" s="138">
        <f t="shared" si="14"/>
        <v>-1.3227851398681019</v>
      </c>
      <c r="AL47" s="138">
        <f t="shared" si="14"/>
        <v>-1.1927773161356232</v>
      </c>
      <c r="AM47" s="138">
        <f t="shared" si="14"/>
        <v>-1.0622700456803054</v>
      </c>
      <c r="AN47" s="138">
        <f t="shared" si="14"/>
        <v>-0.93126140979432193</v>
      </c>
      <c r="AO47" s="138">
        <f t="shared" si="14"/>
        <v>-0.79974948239880972</v>
      </c>
      <c r="AP47" s="138">
        <f t="shared" si="14"/>
        <v>-0.6677323300155531</v>
      </c>
      <c r="AQ47" s="138">
        <f t="shared" si="14"/>
        <v>-0.53520801173855737</v>
      </c>
      <c r="AR47" s="138">
        <f t="shared" si="14"/>
        <v>-0.4021745792055143</v>
      </c>
      <c r="AS47" s="138">
        <f t="shared" si="14"/>
        <v>-0.26863007656915677</v>
      </c>
      <c r="AT47" s="138">
        <f t="shared" si="14"/>
        <v>-0.1345725404685045</v>
      </c>
      <c r="AU47" s="138" t="str">
        <f t="shared" si="14"/>
        <v/>
      </c>
      <c r="AV47" s="138" t="str">
        <f t="shared" si="14"/>
        <v/>
      </c>
      <c r="AW47" s="138" t="str">
        <f t="shared" si="14"/>
        <v/>
      </c>
      <c r="AX47" s="138" t="str">
        <f t="shared" si="14"/>
        <v/>
      </c>
      <c r="AY47" s="138" t="str">
        <f t="shared" si="14"/>
        <v/>
      </c>
      <c r="AZ47" s="138" t="str">
        <f t="shared" si="14"/>
        <v/>
      </c>
      <c r="BA47" s="138" t="str">
        <f t="shared" si="14"/>
        <v/>
      </c>
      <c r="BB47" s="138" t="str">
        <f t="shared" si="14"/>
        <v/>
      </c>
      <c r="BC47" s="138" t="str">
        <f t="shared" si="14"/>
        <v/>
      </c>
      <c r="BD47" s="138" t="str">
        <f t="shared" si="14"/>
        <v/>
      </c>
      <c r="BE47" s="138" t="str">
        <f t="shared" si="14"/>
        <v/>
      </c>
      <c r="BF47" s="138" t="str">
        <f t="shared" si="14"/>
        <v/>
      </c>
      <c r="BG47" s="138" t="str">
        <f t="shared" si="14"/>
        <v/>
      </c>
      <c r="BH47" s="138" t="str">
        <f t="shared" si="14"/>
        <v/>
      </c>
      <c r="BI47" s="138" t="str">
        <f t="shared" si="14"/>
        <v/>
      </c>
      <c r="BJ47" s="138" t="str">
        <f t="shared" si="14"/>
        <v/>
      </c>
      <c r="BK47" s="138" t="str">
        <f t="shared" si="14"/>
        <v/>
      </c>
      <c r="BL47" s="138" t="str">
        <f t="shared" si="14"/>
        <v/>
      </c>
      <c r="BM47" s="138" t="str">
        <f t="shared" si="14"/>
        <v/>
      </c>
      <c r="BN47" s="138" t="str">
        <f t="shared" si="14"/>
        <v/>
      </c>
      <c r="BO47" s="138" t="str">
        <f t="shared" si="14"/>
        <v/>
      </c>
      <c r="BP47" s="138" t="str">
        <f t="shared" si="14"/>
        <v/>
      </c>
      <c r="BQ47" s="138" t="str">
        <f t="shared" si="14"/>
        <v/>
      </c>
      <c r="BR47" s="138" t="str">
        <f t="shared" si="14"/>
        <v/>
      </c>
      <c r="BS47" s="138" t="str">
        <f t="shared" si="14"/>
        <v/>
      </c>
      <c r="BT47" s="138" t="str">
        <f t="shared" ref="BT47:CX47" si="15">IF(OR(BT39&gt;$D$17,BT39=""),"",-$D$47*BT40)</f>
        <v/>
      </c>
      <c r="BU47" s="138" t="str">
        <f t="shared" si="15"/>
        <v/>
      </c>
      <c r="BV47" s="138" t="str">
        <f t="shared" si="15"/>
        <v/>
      </c>
      <c r="BW47" s="138" t="str">
        <f t="shared" si="15"/>
        <v/>
      </c>
      <c r="BX47" s="138" t="str">
        <f t="shared" si="15"/>
        <v/>
      </c>
      <c r="BY47" s="138" t="str">
        <f t="shared" si="15"/>
        <v/>
      </c>
      <c r="BZ47" s="138" t="str">
        <f t="shared" si="15"/>
        <v/>
      </c>
      <c r="CA47" s="138" t="str">
        <f t="shared" si="15"/>
        <v/>
      </c>
      <c r="CB47" s="138" t="str">
        <f t="shared" si="15"/>
        <v/>
      </c>
      <c r="CC47" s="138" t="str">
        <f t="shared" si="15"/>
        <v/>
      </c>
      <c r="CD47" s="138" t="str">
        <f t="shared" si="15"/>
        <v/>
      </c>
      <c r="CE47" s="138" t="str">
        <f t="shared" si="15"/>
        <v/>
      </c>
      <c r="CF47" s="138" t="str">
        <f t="shared" si="15"/>
        <v/>
      </c>
      <c r="CG47" s="138" t="str">
        <f t="shared" si="15"/>
        <v/>
      </c>
      <c r="CH47" s="138" t="str">
        <f t="shared" si="15"/>
        <v/>
      </c>
      <c r="CI47" s="138" t="str">
        <f t="shared" si="15"/>
        <v/>
      </c>
      <c r="CJ47" s="138" t="str">
        <f t="shared" si="15"/>
        <v/>
      </c>
      <c r="CK47" s="138" t="str">
        <f t="shared" si="15"/>
        <v/>
      </c>
      <c r="CL47" s="138" t="str">
        <f t="shared" si="15"/>
        <v/>
      </c>
      <c r="CM47" s="138" t="str">
        <f t="shared" si="15"/>
        <v/>
      </c>
      <c r="CN47" s="138" t="str">
        <f t="shared" si="15"/>
        <v/>
      </c>
      <c r="CO47" s="138" t="str">
        <f t="shared" si="15"/>
        <v/>
      </c>
      <c r="CP47" s="138" t="str">
        <f t="shared" si="15"/>
        <v/>
      </c>
      <c r="CQ47" s="138" t="str">
        <f t="shared" si="15"/>
        <v/>
      </c>
      <c r="CR47" s="138" t="str">
        <f t="shared" si="15"/>
        <v/>
      </c>
      <c r="CS47" s="138" t="str">
        <f t="shared" si="15"/>
        <v/>
      </c>
      <c r="CT47" s="138" t="str">
        <f t="shared" si="15"/>
        <v/>
      </c>
      <c r="CU47" s="138" t="str">
        <f t="shared" si="15"/>
        <v/>
      </c>
      <c r="CV47" s="138" t="str">
        <f t="shared" si="15"/>
        <v/>
      </c>
      <c r="CW47" s="138" t="str">
        <f t="shared" si="15"/>
        <v/>
      </c>
      <c r="CX47" s="139" t="str">
        <f t="shared" si="15"/>
        <v/>
      </c>
    </row>
    <row r="48" spans="2:102">
      <c r="B48" s="93"/>
      <c r="C48" s="140" t="s">
        <v>64</v>
      </c>
      <c r="D48" s="141">
        <f>D26</f>
        <v>3.3000000000000002E-2</v>
      </c>
      <c r="E48" s="62">
        <f>NPV($D$34,G48:CX48)</f>
        <v>-11.5548512243957</v>
      </c>
      <c r="F48" s="137"/>
      <c r="G48" s="138">
        <f>IF(OR(G39&gt;$D$17,G39=""),"",-$D$48*G44)</f>
        <v>-0.63387500000000008</v>
      </c>
      <c r="H48" s="138">
        <f t="shared" ref="H48:BS48" si="16">IF(OR(H39&gt;$D$17,H39=""),"",-$D$48*H44)</f>
        <v>-0.61918416214052141</v>
      </c>
      <c r="I48" s="138">
        <f t="shared" si="16"/>
        <v>-0.60443688697893294</v>
      </c>
      <c r="J48" s="138">
        <f t="shared" si="16"/>
        <v>-0.58963295770193169</v>
      </c>
      <c r="K48" s="138">
        <f t="shared" si="16"/>
        <v>-0.5747721566632914</v>
      </c>
      <c r="L48" s="138">
        <f>IF(OR(L39&gt;$D$17,L39=""),"",-$D$48*L44)</f>
        <v>-0.55985426538066108</v>
      </c>
      <c r="M48" s="138">
        <f t="shared" si="16"/>
        <v>-0.54487906453235302</v>
      </c>
      <c r="N48" s="138">
        <f t="shared" si="16"/>
        <v>-0.52984633395411984</v>
      </c>
      <c r="O48" s="138">
        <f t="shared" si="16"/>
        <v>-0.51475585263591495</v>
      </c>
      <c r="P48" s="138">
        <f t="shared" si="16"/>
        <v>-0.49960739871864601</v>
      </c>
      <c r="Q48" s="138">
        <f t="shared" si="16"/>
        <v>-0.48440074949091166</v>
      </c>
      <c r="R48" s="138">
        <f t="shared" si="16"/>
        <v>-0.46913568138572731</v>
      </c>
      <c r="S48" s="138">
        <f t="shared" si="16"/>
        <v>-0.45381196997723899</v>
      </c>
      <c r="T48" s="138">
        <f t="shared" si="16"/>
        <v>-0.43842938997742292</v>
      </c>
      <c r="U48" s="138">
        <f t="shared" si="16"/>
        <v>-0.42298771523277434</v>
      </c>
      <c r="V48" s="138">
        <f t="shared" si="16"/>
        <v>-0.4074867187209818</v>
      </c>
      <c r="W48" s="138">
        <f t="shared" si="16"/>
        <v>-0.39192617254758966</v>
      </c>
      <c r="X48" s="138">
        <f t="shared" si="16"/>
        <v>-0.3763058479426481</v>
      </c>
      <c r="Y48" s="138">
        <f t="shared" si="16"/>
        <v>-0.36062551525734926</v>
      </c>
      <c r="Z48" s="138">
        <f t="shared" si="16"/>
        <v>-0.34488494396065106</v>
      </c>
      <c r="AA48" s="138">
        <f t="shared" si="16"/>
        <v>-0.32908390263588805</v>
      </c>
      <c r="AB48" s="138">
        <f t="shared" si="16"/>
        <v>-0.31322215897736905</v>
      </c>
      <c r="AC48" s="138">
        <f t="shared" si="16"/>
        <v>-0.29729947978696186</v>
      </c>
      <c r="AD48" s="138">
        <f t="shared" si="16"/>
        <v>-0.28131563097066487</v>
      </c>
      <c r="AE48" s="138">
        <f t="shared" si="16"/>
        <v>-0.26527037753516536</v>
      </c>
      <c r="AF48" s="138">
        <f t="shared" si="16"/>
        <v>-0.24916348358438437</v>
      </c>
      <c r="AG48" s="138">
        <f t="shared" si="16"/>
        <v>-0.23299471231600916</v>
      </c>
      <c r="AH48" s="138">
        <f t="shared" si="16"/>
        <v>-0.21676382601801131</v>
      </c>
      <c r="AI48" s="138">
        <f t="shared" si="16"/>
        <v>-0.20047058606515192</v>
      </c>
      <c r="AJ48" s="138">
        <f t="shared" si="16"/>
        <v>-0.18411475291547369</v>
      </c>
      <c r="AK48" s="138">
        <f t="shared" si="16"/>
        <v>-0.16769608610677875</v>
      </c>
      <c r="AL48" s="138">
        <f t="shared" si="16"/>
        <v>-0.15121434425309377</v>
      </c>
      <c r="AM48" s="138">
        <f t="shared" si="16"/>
        <v>-0.13466928504112086</v>
      </c>
      <c r="AN48" s="138">
        <f t="shared" si="16"/>
        <v>-0.1180606652266753</v>
      </c>
      <c r="AO48" s="138">
        <f t="shared" si="16"/>
        <v>-0.10138824063110924</v>
      </c>
      <c r="AP48" s="138">
        <f t="shared" si="16"/>
        <v>-8.4651766137721879E-2</v>
      </c>
      <c r="AQ48" s="138">
        <f t="shared" si="16"/>
        <v>-6.7850995688155752E-2</v>
      </c>
      <c r="AR48" s="138">
        <f t="shared" si="16"/>
        <v>-5.0985682278779212E-2</v>
      </c>
      <c r="AS48" s="138">
        <f t="shared" si="16"/>
        <v>-3.405557795705498E-2</v>
      </c>
      <c r="AT48" s="138">
        <f t="shared" si="16"/>
        <v>-1.7060433817894793E-2</v>
      </c>
      <c r="AU48" s="138" t="str">
        <f t="shared" si="16"/>
        <v/>
      </c>
      <c r="AV48" s="138" t="str">
        <f t="shared" si="16"/>
        <v/>
      </c>
      <c r="AW48" s="138" t="str">
        <f t="shared" si="16"/>
        <v/>
      </c>
      <c r="AX48" s="138" t="str">
        <f t="shared" si="16"/>
        <v/>
      </c>
      <c r="AY48" s="138" t="str">
        <f t="shared" si="16"/>
        <v/>
      </c>
      <c r="AZ48" s="138" t="str">
        <f t="shared" si="16"/>
        <v/>
      </c>
      <c r="BA48" s="138" t="str">
        <f t="shared" si="16"/>
        <v/>
      </c>
      <c r="BB48" s="138" t="str">
        <f t="shared" si="16"/>
        <v/>
      </c>
      <c r="BC48" s="138" t="str">
        <f t="shared" si="16"/>
        <v/>
      </c>
      <c r="BD48" s="138" t="str">
        <f t="shared" si="16"/>
        <v/>
      </c>
      <c r="BE48" s="138" t="str">
        <f t="shared" si="16"/>
        <v/>
      </c>
      <c r="BF48" s="138" t="str">
        <f t="shared" si="16"/>
        <v/>
      </c>
      <c r="BG48" s="138" t="str">
        <f t="shared" si="16"/>
        <v/>
      </c>
      <c r="BH48" s="138" t="str">
        <f t="shared" si="16"/>
        <v/>
      </c>
      <c r="BI48" s="138" t="str">
        <f t="shared" si="16"/>
        <v/>
      </c>
      <c r="BJ48" s="138" t="str">
        <f t="shared" si="16"/>
        <v/>
      </c>
      <c r="BK48" s="138" t="str">
        <f t="shared" si="16"/>
        <v/>
      </c>
      <c r="BL48" s="138" t="str">
        <f t="shared" si="16"/>
        <v/>
      </c>
      <c r="BM48" s="138" t="str">
        <f t="shared" si="16"/>
        <v/>
      </c>
      <c r="BN48" s="138" t="str">
        <f t="shared" si="16"/>
        <v/>
      </c>
      <c r="BO48" s="138" t="str">
        <f t="shared" si="16"/>
        <v/>
      </c>
      <c r="BP48" s="138" t="str">
        <f t="shared" si="16"/>
        <v/>
      </c>
      <c r="BQ48" s="138" t="str">
        <f t="shared" si="16"/>
        <v/>
      </c>
      <c r="BR48" s="138" t="str">
        <f t="shared" si="16"/>
        <v/>
      </c>
      <c r="BS48" s="138" t="str">
        <f t="shared" si="16"/>
        <v/>
      </c>
      <c r="BT48" s="138" t="str">
        <f t="shared" ref="BT48:CX48" si="17">IF(OR(BT39&gt;$D$17,BT39=""),"",-$D$48*BT44)</f>
        <v/>
      </c>
      <c r="BU48" s="138" t="str">
        <f t="shared" si="17"/>
        <v/>
      </c>
      <c r="BV48" s="138" t="str">
        <f t="shared" si="17"/>
        <v/>
      </c>
      <c r="BW48" s="138" t="str">
        <f t="shared" si="17"/>
        <v/>
      </c>
      <c r="BX48" s="138" t="str">
        <f t="shared" si="17"/>
        <v/>
      </c>
      <c r="BY48" s="138" t="str">
        <f t="shared" si="17"/>
        <v/>
      </c>
      <c r="BZ48" s="138" t="str">
        <f t="shared" si="17"/>
        <v/>
      </c>
      <c r="CA48" s="138" t="str">
        <f t="shared" si="17"/>
        <v/>
      </c>
      <c r="CB48" s="138" t="str">
        <f t="shared" si="17"/>
        <v/>
      </c>
      <c r="CC48" s="138" t="str">
        <f t="shared" si="17"/>
        <v/>
      </c>
      <c r="CD48" s="138" t="str">
        <f t="shared" si="17"/>
        <v/>
      </c>
      <c r="CE48" s="138" t="str">
        <f t="shared" si="17"/>
        <v/>
      </c>
      <c r="CF48" s="138" t="str">
        <f t="shared" si="17"/>
        <v/>
      </c>
      <c r="CG48" s="138" t="str">
        <f t="shared" si="17"/>
        <v/>
      </c>
      <c r="CH48" s="138" t="str">
        <f t="shared" si="17"/>
        <v/>
      </c>
      <c r="CI48" s="138" t="str">
        <f t="shared" si="17"/>
        <v/>
      </c>
      <c r="CJ48" s="138" t="str">
        <f t="shared" si="17"/>
        <v/>
      </c>
      <c r="CK48" s="138" t="str">
        <f t="shared" si="17"/>
        <v/>
      </c>
      <c r="CL48" s="138" t="str">
        <f t="shared" si="17"/>
        <v/>
      </c>
      <c r="CM48" s="138" t="str">
        <f t="shared" si="17"/>
        <v/>
      </c>
      <c r="CN48" s="138" t="str">
        <f t="shared" si="17"/>
        <v/>
      </c>
      <c r="CO48" s="138" t="str">
        <f t="shared" si="17"/>
        <v/>
      </c>
      <c r="CP48" s="138" t="str">
        <f t="shared" si="17"/>
        <v/>
      </c>
      <c r="CQ48" s="138" t="str">
        <f t="shared" si="17"/>
        <v/>
      </c>
      <c r="CR48" s="138" t="str">
        <f t="shared" si="17"/>
        <v/>
      </c>
      <c r="CS48" s="138" t="str">
        <f t="shared" si="17"/>
        <v/>
      </c>
      <c r="CT48" s="138" t="str">
        <f t="shared" si="17"/>
        <v/>
      </c>
      <c r="CU48" s="138" t="str">
        <f t="shared" si="17"/>
        <v/>
      </c>
      <c r="CV48" s="138" t="str">
        <f t="shared" si="17"/>
        <v/>
      </c>
      <c r="CW48" s="138" t="str">
        <f t="shared" si="17"/>
        <v/>
      </c>
      <c r="CX48" s="139" t="str">
        <f t="shared" si="17"/>
        <v/>
      </c>
    </row>
    <row r="49" spans="2:102">
      <c r="B49" s="93"/>
      <c r="C49" s="66" t="s">
        <v>65</v>
      </c>
      <c r="D49" s="66"/>
      <c r="E49" s="126">
        <f>NPV($D$34,G49:CX49)+F49</f>
        <v>-138.19940830896041</v>
      </c>
      <c r="F49" s="142">
        <f>F46</f>
        <v>-35.5</v>
      </c>
      <c r="G49" s="143">
        <f>IF(OR(G39&gt;$D$17,G39=""),"",SUM(G46:G48))</f>
        <v>-5.6338749999999997</v>
      </c>
      <c r="H49" s="143">
        <f t="shared" ref="H49:BS49" si="18">IF(OR(H39&gt;$D$17,H39=""),"",SUM(H46:H48))</f>
        <v>-5.5033029721623832</v>
      </c>
      <c r="I49" s="143">
        <f t="shared" si="18"/>
        <v>-5.3722293301178228</v>
      </c>
      <c r="J49" s="143">
        <f t="shared" si="18"/>
        <v>-5.2406521468317422</v>
      </c>
      <c r="K49" s="143">
        <f t="shared" si="18"/>
        <v>-5.1085694878665358</v>
      </c>
      <c r="L49" s="143">
        <f t="shared" si="18"/>
        <v>-4.9759794113531397</v>
      </c>
      <c r="M49" s="143">
        <f t="shared" si="18"/>
        <v>-4.8428799679624692</v>
      </c>
      <c r="N49" s="143">
        <f t="shared" si="18"/>
        <v>-4.7092692008767747</v>
      </c>
      <c r="O49" s="143">
        <f t="shared" si="18"/>
        <v>-4.5751451457608594</v>
      </c>
      <c r="P49" s="143">
        <f t="shared" si="18"/>
        <v>-4.4405058307332066</v>
      </c>
      <c r="Q49" s="143">
        <f t="shared" si="18"/>
        <v>-4.3053492763369894</v>
      </c>
      <c r="R49" s="143">
        <f t="shared" si="18"/>
        <v>-4.169673495510966</v>
      </c>
      <c r="S49" s="143">
        <f t="shared" si="18"/>
        <v>-4.0334764935602712</v>
      </c>
      <c r="T49" s="143">
        <f t="shared" si="18"/>
        <v>-3.8967562681270809</v>
      </c>
      <c r="U49" s="143">
        <f t="shared" si="18"/>
        <v>-3.7595108091611849</v>
      </c>
      <c r="V49" s="143">
        <f t="shared" si="18"/>
        <v>-3.6217380988904289</v>
      </c>
      <c r="W49" s="143">
        <f t="shared" si="18"/>
        <v>-3.4834361117910491</v>
      </c>
      <c r="X49" s="143">
        <f t="shared" si="18"/>
        <v>-3.344602814557895</v>
      </c>
      <c r="Y49" s="143">
        <f t="shared" si="18"/>
        <v>-3.2052361660745383</v>
      </c>
      <c r="Z49" s="143">
        <f t="shared" si="18"/>
        <v>-3.0653341173832573</v>
      </c>
      <c r="AA49" s="143">
        <f t="shared" si="18"/>
        <v>-2.924894611654921</v>
      </c>
      <c r="AB49" s="143">
        <f t="shared" si="18"/>
        <v>-2.7839155841587448</v>
      </c>
      <c r="AC49" s="143">
        <f t="shared" si="18"/>
        <v>-2.6423949622319371</v>
      </c>
      <c r="AD49" s="143">
        <f t="shared" si="18"/>
        <v>-2.5003306652492272</v>
      </c>
      <c r="AE49" s="143">
        <f t="shared" si="18"/>
        <v>-2.3577206045922758</v>
      </c>
      <c r="AF49" s="143">
        <f t="shared" si="18"/>
        <v>-2.2145626836189671</v>
      </c>
      <c r="AG49" s="143">
        <f t="shared" si="18"/>
        <v>-2.0708547976325855</v>
      </c>
      <c r="AH49" s="143">
        <f t="shared" si="18"/>
        <v>-1.9265948338508736</v>
      </c>
      <c r="AI49" s="143">
        <f t="shared" si="18"/>
        <v>-1.7817806713749669</v>
      </c>
      <c r="AJ49" s="143">
        <f t="shared" si="18"/>
        <v>-1.636410181158215</v>
      </c>
      <c r="AK49" s="143">
        <f t="shared" si="18"/>
        <v>-1.4904812259748805</v>
      </c>
      <c r="AL49" s="143">
        <f t="shared" si="18"/>
        <v>-1.343991660388717</v>
      </c>
      <c r="AM49" s="143">
        <f t="shared" si="18"/>
        <v>-1.1969393307214262</v>
      </c>
      <c r="AN49" s="143">
        <f t="shared" si="18"/>
        <v>-1.0493220750209973</v>
      </c>
      <c r="AO49" s="143">
        <f t="shared" si="18"/>
        <v>-0.9011377230299189</v>
      </c>
      <c r="AP49" s="143">
        <f t="shared" si="18"/>
        <v>-0.75238409615327495</v>
      </c>
      <c r="AQ49" s="143">
        <f t="shared" si="18"/>
        <v>-0.60305900742671315</v>
      </c>
      <c r="AR49" s="143">
        <f t="shared" si="18"/>
        <v>-0.4531602614842935</v>
      </c>
      <c r="AS49" s="143">
        <f t="shared" si="18"/>
        <v>-0.30268565452621177</v>
      </c>
      <c r="AT49" s="143">
        <f t="shared" si="18"/>
        <v>-0.1516329742863993</v>
      </c>
      <c r="AU49" s="143" t="str">
        <f t="shared" si="18"/>
        <v/>
      </c>
      <c r="AV49" s="143" t="str">
        <f t="shared" si="18"/>
        <v/>
      </c>
      <c r="AW49" s="143" t="str">
        <f t="shared" si="18"/>
        <v/>
      </c>
      <c r="AX49" s="143" t="str">
        <f t="shared" si="18"/>
        <v/>
      </c>
      <c r="AY49" s="143" t="str">
        <f t="shared" si="18"/>
        <v/>
      </c>
      <c r="AZ49" s="143" t="str">
        <f t="shared" si="18"/>
        <v/>
      </c>
      <c r="BA49" s="143" t="str">
        <f t="shared" si="18"/>
        <v/>
      </c>
      <c r="BB49" s="143" t="str">
        <f t="shared" si="18"/>
        <v/>
      </c>
      <c r="BC49" s="143" t="str">
        <f t="shared" si="18"/>
        <v/>
      </c>
      <c r="BD49" s="143" t="str">
        <f t="shared" si="18"/>
        <v/>
      </c>
      <c r="BE49" s="143" t="str">
        <f t="shared" si="18"/>
        <v/>
      </c>
      <c r="BF49" s="143" t="str">
        <f t="shared" si="18"/>
        <v/>
      </c>
      <c r="BG49" s="143" t="str">
        <f t="shared" si="18"/>
        <v/>
      </c>
      <c r="BH49" s="143" t="str">
        <f t="shared" si="18"/>
        <v/>
      </c>
      <c r="BI49" s="143" t="str">
        <f t="shared" si="18"/>
        <v/>
      </c>
      <c r="BJ49" s="143" t="str">
        <f t="shared" si="18"/>
        <v/>
      </c>
      <c r="BK49" s="143" t="str">
        <f t="shared" si="18"/>
        <v/>
      </c>
      <c r="BL49" s="143" t="str">
        <f t="shared" si="18"/>
        <v/>
      </c>
      <c r="BM49" s="143" t="str">
        <f t="shared" si="18"/>
        <v/>
      </c>
      <c r="BN49" s="143" t="str">
        <f t="shared" si="18"/>
        <v/>
      </c>
      <c r="BO49" s="143" t="str">
        <f t="shared" si="18"/>
        <v/>
      </c>
      <c r="BP49" s="143" t="str">
        <f t="shared" si="18"/>
        <v/>
      </c>
      <c r="BQ49" s="143" t="str">
        <f t="shared" si="18"/>
        <v/>
      </c>
      <c r="BR49" s="143" t="str">
        <f t="shared" si="18"/>
        <v/>
      </c>
      <c r="BS49" s="143" t="str">
        <f t="shared" si="18"/>
        <v/>
      </c>
      <c r="BT49" s="143" t="str">
        <f t="shared" ref="BT49:CX49" si="19">IF(OR(BT39&gt;$D$17,BT39=""),"",SUM(BT46:BT48))</f>
        <v/>
      </c>
      <c r="BU49" s="143" t="str">
        <f t="shared" si="19"/>
        <v/>
      </c>
      <c r="BV49" s="143" t="str">
        <f t="shared" si="19"/>
        <v/>
      </c>
      <c r="BW49" s="143" t="str">
        <f t="shared" si="19"/>
        <v/>
      </c>
      <c r="BX49" s="143" t="str">
        <f t="shared" si="19"/>
        <v/>
      </c>
      <c r="BY49" s="143" t="str">
        <f t="shared" si="19"/>
        <v/>
      </c>
      <c r="BZ49" s="143" t="str">
        <f t="shared" si="19"/>
        <v/>
      </c>
      <c r="CA49" s="143" t="str">
        <f t="shared" si="19"/>
        <v/>
      </c>
      <c r="CB49" s="143" t="str">
        <f t="shared" si="19"/>
        <v/>
      </c>
      <c r="CC49" s="143" t="str">
        <f t="shared" si="19"/>
        <v/>
      </c>
      <c r="CD49" s="143" t="str">
        <f t="shared" si="19"/>
        <v/>
      </c>
      <c r="CE49" s="143" t="str">
        <f t="shared" si="19"/>
        <v/>
      </c>
      <c r="CF49" s="143" t="str">
        <f t="shared" si="19"/>
        <v/>
      </c>
      <c r="CG49" s="143" t="str">
        <f t="shared" si="19"/>
        <v/>
      </c>
      <c r="CH49" s="143" t="str">
        <f t="shared" si="19"/>
        <v/>
      </c>
      <c r="CI49" s="143" t="str">
        <f t="shared" si="19"/>
        <v/>
      </c>
      <c r="CJ49" s="143" t="str">
        <f t="shared" si="19"/>
        <v/>
      </c>
      <c r="CK49" s="143" t="str">
        <f t="shared" si="19"/>
        <v/>
      </c>
      <c r="CL49" s="143" t="str">
        <f t="shared" si="19"/>
        <v/>
      </c>
      <c r="CM49" s="143" t="str">
        <f t="shared" si="19"/>
        <v/>
      </c>
      <c r="CN49" s="143" t="str">
        <f t="shared" si="19"/>
        <v/>
      </c>
      <c r="CO49" s="143" t="str">
        <f t="shared" si="19"/>
        <v/>
      </c>
      <c r="CP49" s="143" t="str">
        <f t="shared" si="19"/>
        <v/>
      </c>
      <c r="CQ49" s="143" t="str">
        <f t="shared" si="19"/>
        <v/>
      </c>
      <c r="CR49" s="143" t="str">
        <f t="shared" si="19"/>
        <v/>
      </c>
      <c r="CS49" s="143" t="str">
        <f t="shared" si="19"/>
        <v/>
      </c>
      <c r="CT49" s="143" t="str">
        <f t="shared" si="19"/>
        <v/>
      </c>
      <c r="CU49" s="143" t="str">
        <f t="shared" si="19"/>
        <v/>
      </c>
      <c r="CV49" s="143" t="str">
        <f t="shared" si="19"/>
        <v/>
      </c>
      <c r="CW49" s="143" t="str">
        <f t="shared" si="19"/>
        <v/>
      </c>
      <c r="CX49" s="144" t="str">
        <f t="shared" si="19"/>
        <v/>
      </c>
    </row>
    <row r="50" spans="2:102">
      <c r="B50" s="93"/>
      <c r="C50" s="55" t="s">
        <v>37</v>
      </c>
      <c r="D50" s="55"/>
      <c r="E50" s="62"/>
      <c r="F50" s="137"/>
      <c r="G50" s="145">
        <f>IF(OR(G39&gt;$D$17,G39=""),"",PD!D27)</f>
        <v>1.9193971146370598E-3</v>
      </c>
      <c r="H50" s="145">
        <f>IF(OR(H39&gt;$D$17,H39=""),"",PD!E27)</f>
        <v>2.0742147020677069E-3</v>
      </c>
      <c r="I50" s="145">
        <f>IF(OR(I39&gt;$D$17,I39=""),"",PD!F27)</f>
        <v>2.0801771651355453E-3</v>
      </c>
      <c r="J50" s="145">
        <f>IF(OR(J39&gt;$D$17,J39=""),"",PD!G27)</f>
        <v>2.0309204880828062E-3</v>
      </c>
      <c r="K50" s="145">
        <f>IF(OR(K39&gt;$D$17,K39=""),"",PD!H27)</f>
        <v>1.9939335339668181E-3</v>
      </c>
      <c r="L50" s="145">
        <f>IF(OR(L39&gt;$D$17,L39=""),"",PD!I27)</f>
        <v>2.0169880170679212E-3</v>
      </c>
      <c r="M50" s="145">
        <f>IF(OR(M39&gt;$D$17,M39=""),"",PD!J27)</f>
        <v>2.0043887673540143E-3</v>
      </c>
      <c r="N50" s="145">
        <f>IF(OR(N39&gt;$D$17,N39=""),"",PD!K27)</f>
        <v>2.0225166651866777E-3</v>
      </c>
      <c r="O50" s="145">
        <f>IF(OR(O39&gt;$D$17,O39=""),"",PD!L27)</f>
        <v>2.0596862194604869E-3</v>
      </c>
      <c r="P50" s="145">
        <f>IF(OR(P39&gt;$D$17,P39=""),"",PD!M27)</f>
        <v>2.0458886426302243E-3</v>
      </c>
      <c r="Q50" s="145">
        <f>IF(OR(Q39&gt;$D$17,Q39=""),"",PD!N27)</f>
        <v>2.0341882124103555E-3</v>
      </c>
      <c r="R50" s="145">
        <f>IF(OR(R39&gt;$D$17,R39=""),"",PD!O27)</f>
        <v>2.0692609518614797E-3</v>
      </c>
      <c r="S50" s="145">
        <f>IF(OR(S39&gt;$D$17,S39=""),"",PD!P27)</f>
        <v>2.0598284269672997E-3</v>
      </c>
      <c r="T50" s="145">
        <f>IF(OR(T39&gt;$D$17,T39=""),"",PD!Q27)</f>
        <v>2.0442662097725182E-3</v>
      </c>
      <c r="U50" s="145">
        <f>IF(OR(U39&gt;$D$17,U39=""),"",PD!R27)</f>
        <v>2.0377166080631937E-3</v>
      </c>
      <c r="V50" s="145">
        <f>IF(OR(V39&gt;$D$17,V39=""),"",PD!S27)</f>
        <v>2.0668820980087343E-3</v>
      </c>
      <c r="W50" s="145">
        <f>IF(OR(W39&gt;$D$17,W39=""),"",PD!T27)</f>
        <v>2.0870267663680646E-3</v>
      </c>
      <c r="X50" s="145">
        <f>IF(OR(X39&gt;$D$17,X39=""),"",PD!U27)</f>
        <v>2.0804771646587396E-3</v>
      </c>
      <c r="Y50" s="145">
        <f>IF(OR(Y39&gt;$D$17,Y39=""),"",PD!V27)</f>
        <v>2.059007697958375E-3</v>
      </c>
      <c r="Z50" s="145">
        <f>IF(OR(Z39&gt;$D$17,Z39=""),"",PD!W27)</f>
        <v>2.0454619195025519E-3</v>
      </c>
      <c r="AA50" s="145">
        <f>IF(OR(AA39&gt;$D$17,AA39=""),"",PD!X27)</f>
        <v>2.0739807201162015E-3</v>
      </c>
      <c r="AB50" s="145">
        <f>IF(OR(AB39&gt;$D$17,AB39=""),"",PD!Y27)</f>
        <v>2.06404526204856E-3</v>
      </c>
      <c r="AC50" s="145">
        <f>IF(OR(AC39&gt;$D$17,AC39=""),"",PD!Z27)</f>
        <v>2.0467184044892601E-3</v>
      </c>
      <c r="AD50" s="145">
        <f>IF(OR(AD39&gt;$D$17,AD39=""),"",PD!AA27)</f>
        <v>2.0321644066639581E-3</v>
      </c>
      <c r="AE50" s="145">
        <f>IF(OR(AE39&gt;$D$17,AE39=""),"",PD!AB27)</f>
        <v>2.0135778631484485E-3</v>
      </c>
      <c r="AF50" s="145">
        <f>IF(OR(AF39&gt;$D$17,AF39=""),"",PD!AC27)</f>
        <v>2.0431048831315774E-3</v>
      </c>
      <c r="AG50" s="145">
        <f>IF(OR(AG39&gt;$D$17,AG39=""),"",PD!AD27)</f>
        <v>2.0604766917569103E-3</v>
      </c>
      <c r="AH50" s="145">
        <f>IF(OR(AH39&gt;$D$17,AH39=""),"",PD!AE27)</f>
        <v>2.0459226939316079E-3</v>
      </c>
      <c r="AI50" s="145">
        <f>IF(OR(AI39&gt;$D$17,AI39=""),"",PD!AF27)</f>
        <v>2.0273361504160987E-3</v>
      </c>
      <c r="AJ50" s="145">
        <f>IF(OR(AJ39&gt;$D$17,AJ39=""),"",PD!AG27)</f>
        <v>2.0100092928567988E-3</v>
      </c>
      <c r="AK50" s="145">
        <f>IF(OR(AK39&gt;$D$17,AK39=""),"",PD!AH27)</f>
        <v>1.9914227493412892E-3</v>
      </c>
      <c r="AL50" s="145">
        <f>IF(OR(AL39&gt;$D$17,AL39=""),"",PD!AI27)</f>
        <v>1.9740958917819893E-3</v>
      </c>
      <c r="AM50" s="145">
        <f>IF(OR(AM39&gt;$D$17,AM39=""),"",PD!AJ27)</f>
        <v>1.9555093482664797E-3</v>
      </c>
      <c r="AN50" s="145">
        <f>IF(OR(AN39&gt;$D$17,AN39=""),"",PD!AK27)</f>
        <v>1.9850363682496091E-3</v>
      </c>
      <c r="AO50" s="145">
        <f>IF(OR(AO39&gt;$D$17,AO39=""),"",PD!AL27)</f>
        <v>1.9695842145056853E-3</v>
      </c>
      <c r="AP50" s="145">
        <f>IF(OR(AP39&gt;$D$17,AP39=""),"",PD!AM27)</f>
        <v>1.9522573569463856E-3</v>
      </c>
      <c r="AQ50" s="145">
        <f>IF(OR(AQ39&gt;$D$17,AQ39=""),"",PD!AN27)</f>
        <v>1.9336708134308764E-3</v>
      </c>
      <c r="AR50" s="145">
        <f>IF(OR(AR39&gt;$D$17,AR39=""),"",PD!AO27)</f>
        <v>1.9564449171534841E-3</v>
      </c>
      <c r="AS50" s="145">
        <f>IF(OR(AS39&gt;$D$17,AS39=""),"",PD!AP27)</f>
        <v>1.9378583736379741E-3</v>
      </c>
      <c r="AT50" s="145">
        <f>IF(OR(AT39&gt;$D$17,AT39=""),"",PD!AQ27)</f>
        <v>1.9236659058502609E-3</v>
      </c>
      <c r="AU50" s="145" t="str">
        <f>IF(OR(AU39&gt;$D$17,AU39=""),"",PD!AR27)</f>
        <v/>
      </c>
      <c r="AV50" s="145" t="str">
        <f>IF(OR(AV39&gt;$D$17,AV39=""),"",PD!AS27)</f>
        <v/>
      </c>
      <c r="AW50" s="145" t="str">
        <f>IF(OR(AW39&gt;$D$17,AW39=""),"",PD!AT27)</f>
        <v/>
      </c>
      <c r="AX50" s="145" t="str">
        <f>IF(OR(AX39&gt;$D$17,AX39=""),"",PD!AU27)</f>
        <v/>
      </c>
      <c r="AY50" s="145" t="str">
        <f>IF(OR(AY39&gt;$D$17,AY39=""),"",PD!AV27)</f>
        <v/>
      </c>
      <c r="AZ50" s="145" t="str">
        <f>IF(OR(AZ39&gt;$D$17,AZ39=""),"",PD!AW27)</f>
        <v/>
      </c>
      <c r="BA50" s="145" t="str">
        <f>IF(OR(BA39&gt;$D$17,BA39=""),"",PD!AX27)</f>
        <v/>
      </c>
      <c r="BB50" s="145" t="str">
        <f>IF(OR(BB39&gt;$D$17,BB39=""),"",PD!AY27)</f>
        <v/>
      </c>
      <c r="BC50" s="145" t="str">
        <f>IF(OR(BC39&gt;$D$17,BC39=""),"",PD!AZ27)</f>
        <v/>
      </c>
      <c r="BD50" s="145" t="str">
        <f>IF(OR(BD39&gt;$D$17,BD39=""),"",PD!BA27)</f>
        <v/>
      </c>
      <c r="BE50" s="145" t="str">
        <f>IF(OR(BE39&gt;$D$17,BE39=""),"",PD!BB27)</f>
        <v/>
      </c>
      <c r="BF50" s="145" t="str">
        <f>IF(OR(BF39&gt;$D$17,BF39=""),"",PD!BC27)</f>
        <v/>
      </c>
      <c r="BG50" s="145" t="str">
        <f>IF(OR(BG39&gt;$D$17,BG39=""),"",PD!BD27)</f>
        <v/>
      </c>
      <c r="BH50" s="145" t="str">
        <f>IF(OR(BH39&gt;$D$17,BH39=""),"",PD!BE27)</f>
        <v/>
      </c>
      <c r="BI50" s="145" t="str">
        <f>IF(OR(BI39&gt;$D$17,BI39=""),"",PD!BF27)</f>
        <v/>
      </c>
      <c r="BJ50" s="145" t="str">
        <f>IF(OR(BJ39&gt;$D$17,BJ39=""),"",PD!BG27)</f>
        <v/>
      </c>
      <c r="BK50" s="145" t="str">
        <f>IF(OR(BK39&gt;$D$17,BK39=""),"",PD!BH27)</f>
        <v/>
      </c>
      <c r="BL50" s="145" t="str">
        <f>IF(OR(BL39&gt;$D$17,BL39=""),"",PD!BI27)</f>
        <v/>
      </c>
      <c r="BM50" s="145" t="str">
        <f>IF(OR(BM39&gt;$D$17,BM39=""),"",PD!BJ27)</f>
        <v/>
      </c>
      <c r="BN50" s="145" t="str">
        <f>IF(OR(BN39&gt;$D$17,BN39=""),"",PD!BK27)</f>
        <v/>
      </c>
      <c r="BO50" s="145" t="str">
        <f>IF(OR(BO39&gt;$D$17,BO39=""),"",PD!BL27)</f>
        <v/>
      </c>
      <c r="BP50" s="145" t="str">
        <f>IF(OR(BP39&gt;$D$17,BP39=""),"",PD!BM27)</f>
        <v/>
      </c>
      <c r="BQ50" s="145" t="str">
        <f>IF(OR(BQ39&gt;$D$17,BQ39=""),"",PD!BN27)</f>
        <v/>
      </c>
      <c r="BR50" s="145" t="str">
        <f>IF(OR(BR39&gt;$D$17,BR39=""),"",PD!BO27)</f>
        <v/>
      </c>
      <c r="BS50" s="145" t="str">
        <f>IF(OR(BS39&gt;$D$17,BS39=""),"",PD!BP27)</f>
        <v/>
      </c>
      <c r="BT50" s="145" t="str">
        <f>IF(OR(BT39&gt;$D$17,BT39=""),"",PD!BQ27)</f>
        <v/>
      </c>
      <c r="BU50" s="145" t="str">
        <f>IF(OR(BU39&gt;$D$17,BU39=""),"",PD!BR27)</f>
        <v/>
      </c>
      <c r="BV50" s="145" t="str">
        <f>IF(OR(BV39&gt;$D$17,BV39=""),"",PD!BS27)</f>
        <v/>
      </c>
      <c r="BW50" s="145" t="str">
        <f>IF(OR(BW39&gt;$D$17,BW39=""),"",PD!BT27)</f>
        <v/>
      </c>
      <c r="BX50" s="145" t="str">
        <f>IF(OR(BX39&gt;$D$17,BX39=""),"",PD!BU27)</f>
        <v/>
      </c>
      <c r="BY50" s="145" t="str">
        <f>IF(OR(BY39&gt;$D$17,BY39=""),"",PD!BV27)</f>
        <v/>
      </c>
      <c r="BZ50" s="145" t="str">
        <f>IF(OR(BZ39&gt;$D$17,BZ39=""),"",PD!BW27)</f>
        <v/>
      </c>
      <c r="CA50" s="145" t="str">
        <f>IF(OR(CA39&gt;$D$17,CA39=""),"",PD!BX27)</f>
        <v/>
      </c>
      <c r="CB50" s="145" t="str">
        <f>IF(OR(CB39&gt;$D$17,CB39=""),"",PD!BY27)</f>
        <v/>
      </c>
      <c r="CC50" s="145" t="str">
        <f>IF(OR(CC39&gt;$D$17,CC39=""),"",PD!BZ27)</f>
        <v/>
      </c>
      <c r="CD50" s="145" t="str">
        <f>IF(OR(CD39&gt;$D$17,CD39=""),"",PD!CA27)</f>
        <v/>
      </c>
      <c r="CE50" s="145" t="str">
        <f>IF(OR(CE39&gt;$D$17,CE39=""),"",PD!CB27)</f>
        <v/>
      </c>
      <c r="CF50" s="145" t="str">
        <f>IF(OR(CF39&gt;$D$17,CF39=""),"",PD!CC27)</f>
        <v/>
      </c>
      <c r="CG50" s="145" t="str">
        <f>IF(OR(CG39&gt;$D$17,CG39=""),"",PD!CD27)</f>
        <v/>
      </c>
      <c r="CH50" s="145" t="str">
        <f>IF(OR(CH39&gt;$D$17,CH39=""),"",PD!CE27)</f>
        <v/>
      </c>
      <c r="CI50" s="145" t="str">
        <f>IF(OR(CI39&gt;$D$17,CI39=""),"",PD!CF27)</f>
        <v/>
      </c>
      <c r="CJ50" s="145" t="str">
        <f>IF(OR(CJ39&gt;$D$17,CJ39=""),"",PD!CG27)</f>
        <v/>
      </c>
      <c r="CK50" s="145" t="str">
        <f>IF(OR(CK39&gt;$D$17,CK39=""),"",PD!CH27)</f>
        <v/>
      </c>
      <c r="CL50" s="145" t="str">
        <f>IF(OR(CL39&gt;$D$17,CL39=""),"",PD!CI27)</f>
        <v/>
      </c>
      <c r="CM50" s="145" t="str">
        <f>IF(OR(CM39&gt;$D$17,CM39=""),"",PD!CJ27)</f>
        <v/>
      </c>
      <c r="CN50" s="145" t="str">
        <f>IF(OR(CN39&gt;$D$17,CN39=""),"",PD!CK27)</f>
        <v/>
      </c>
      <c r="CO50" s="145" t="str">
        <f>IF(OR(CO39&gt;$D$17,CO39=""),"",PD!CL27)</f>
        <v/>
      </c>
      <c r="CP50" s="145" t="str">
        <f>IF(OR(CP39&gt;$D$17,CP39=""),"",PD!CM27)</f>
        <v/>
      </c>
      <c r="CQ50" s="145" t="str">
        <f>IF(OR(CQ39&gt;$D$17,CQ39=""),"",PD!CN27)</f>
        <v/>
      </c>
      <c r="CR50" s="145" t="str">
        <f>IF(OR(CR39&gt;$D$17,CR39=""),"",PD!CO27)</f>
        <v/>
      </c>
      <c r="CS50" s="145" t="str">
        <f>IF(OR(CS39&gt;$D$17,CS39=""),"",PD!CP27)</f>
        <v/>
      </c>
      <c r="CT50" s="145" t="str">
        <f>IF(OR(CT39&gt;$D$17,CT39=""),"",PD!CQ27)</f>
        <v/>
      </c>
      <c r="CU50" s="145" t="str">
        <f>IF(OR(CU39&gt;$D$17,CU39=""),"",PD!CR27)</f>
        <v/>
      </c>
      <c r="CV50" s="145" t="str">
        <f>IF(OR(CV39&gt;$D$17,CV39=""),"",PD!CS27)</f>
        <v/>
      </c>
      <c r="CW50" s="145" t="str">
        <f>IF(OR(CW39&gt;$D$17,CW39=""),"",PD!CT27)</f>
        <v/>
      </c>
      <c r="CX50" s="146" t="str">
        <f>IF(OR(CX39&gt;$D$17,CX39=""),"",PD!CU27)</f>
        <v/>
      </c>
    </row>
    <row r="51" spans="2:102">
      <c r="B51" s="93"/>
      <c r="C51" s="55" t="s">
        <v>66</v>
      </c>
      <c r="D51" s="147">
        <f>D29</f>
        <v>1.03</v>
      </c>
      <c r="E51" s="62"/>
      <c r="F51" s="137"/>
      <c r="G51" s="138">
        <f>IF(OR(G39&gt;$D$17,G39=""),"",1.03)</f>
        <v>1.03</v>
      </c>
      <c r="H51" s="138">
        <f t="shared" ref="H51:BS51" si="20">IF(OR(H39&gt;$D$17,H39=""),"",1.03)</f>
        <v>1.03</v>
      </c>
      <c r="I51" s="138">
        <f t="shared" si="20"/>
        <v>1.03</v>
      </c>
      <c r="J51" s="138">
        <f t="shared" si="20"/>
        <v>1.03</v>
      </c>
      <c r="K51" s="138">
        <f t="shared" si="20"/>
        <v>1.03</v>
      </c>
      <c r="L51" s="138">
        <f t="shared" si="20"/>
        <v>1.03</v>
      </c>
      <c r="M51" s="138">
        <f t="shared" si="20"/>
        <v>1.03</v>
      </c>
      <c r="N51" s="138">
        <f t="shared" si="20"/>
        <v>1.03</v>
      </c>
      <c r="O51" s="138">
        <f t="shared" si="20"/>
        <v>1.03</v>
      </c>
      <c r="P51" s="138">
        <f t="shared" si="20"/>
        <v>1.03</v>
      </c>
      <c r="Q51" s="138">
        <f t="shared" si="20"/>
        <v>1.03</v>
      </c>
      <c r="R51" s="138">
        <f t="shared" si="20"/>
        <v>1.03</v>
      </c>
      <c r="S51" s="138">
        <f t="shared" si="20"/>
        <v>1.03</v>
      </c>
      <c r="T51" s="138">
        <f t="shared" si="20"/>
        <v>1.03</v>
      </c>
      <c r="U51" s="138">
        <f t="shared" si="20"/>
        <v>1.03</v>
      </c>
      <c r="V51" s="138">
        <f t="shared" si="20"/>
        <v>1.03</v>
      </c>
      <c r="W51" s="138">
        <f t="shared" si="20"/>
        <v>1.03</v>
      </c>
      <c r="X51" s="138">
        <f t="shared" si="20"/>
        <v>1.03</v>
      </c>
      <c r="Y51" s="138">
        <f t="shared" si="20"/>
        <v>1.03</v>
      </c>
      <c r="Z51" s="138">
        <f t="shared" si="20"/>
        <v>1.03</v>
      </c>
      <c r="AA51" s="138">
        <f t="shared" si="20"/>
        <v>1.03</v>
      </c>
      <c r="AB51" s="138">
        <f t="shared" si="20"/>
        <v>1.03</v>
      </c>
      <c r="AC51" s="138">
        <f t="shared" si="20"/>
        <v>1.03</v>
      </c>
      <c r="AD51" s="138">
        <f t="shared" si="20"/>
        <v>1.03</v>
      </c>
      <c r="AE51" s="138">
        <f t="shared" si="20"/>
        <v>1.03</v>
      </c>
      <c r="AF51" s="138">
        <f t="shared" si="20"/>
        <v>1.03</v>
      </c>
      <c r="AG51" s="138">
        <f t="shared" si="20"/>
        <v>1.03</v>
      </c>
      <c r="AH51" s="138">
        <f t="shared" si="20"/>
        <v>1.03</v>
      </c>
      <c r="AI51" s="138">
        <f t="shared" si="20"/>
        <v>1.03</v>
      </c>
      <c r="AJ51" s="138">
        <f t="shared" si="20"/>
        <v>1.03</v>
      </c>
      <c r="AK51" s="138">
        <f t="shared" si="20"/>
        <v>1.03</v>
      </c>
      <c r="AL51" s="138">
        <f t="shared" si="20"/>
        <v>1.03</v>
      </c>
      <c r="AM51" s="138">
        <f t="shared" si="20"/>
        <v>1.03</v>
      </c>
      <c r="AN51" s="138">
        <f t="shared" si="20"/>
        <v>1.03</v>
      </c>
      <c r="AO51" s="138">
        <f t="shared" si="20"/>
        <v>1.03</v>
      </c>
      <c r="AP51" s="138">
        <f t="shared" si="20"/>
        <v>1.03</v>
      </c>
      <c r="AQ51" s="138">
        <f t="shared" si="20"/>
        <v>1.03</v>
      </c>
      <c r="AR51" s="138">
        <f t="shared" si="20"/>
        <v>1.03</v>
      </c>
      <c r="AS51" s="138">
        <f t="shared" si="20"/>
        <v>1.03</v>
      </c>
      <c r="AT51" s="138">
        <f t="shared" si="20"/>
        <v>1.03</v>
      </c>
      <c r="AU51" s="138" t="str">
        <f t="shared" si="20"/>
        <v/>
      </c>
      <c r="AV51" s="138" t="str">
        <f t="shared" si="20"/>
        <v/>
      </c>
      <c r="AW51" s="138" t="str">
        <f t="shared" si="20"/>
        <v/>
      </c>
      <c r="AX51" s="138" t="str">
        <f t="shared" si="20"/>
        <v/>
      </c>
      <c r="AY51" s="138" t="str">
        <f t="shared" si="20"/>
        <v/>
      </c>
      <c r="AZ51" s="138" t="str">
        <f t="shared" si="20"/>
        <v/>
      </c>
      <c r="BA51" s="138" t="str">
        <f t="shared" si="20"/>
        <v/>
      </c>
      <c r="BB51" s="138" t="str">
        <f t="shared" si="20"/>
        <v/>
      </c>
      <c r="BC51" s="138" t="str">
        <f t="shared" si="20"/>
        <v/>
      </c>
      <c r="BD51" s="138" t="str">
        <f t="shared" si="20"/>
        <v/>
      </c>
      <c r="BE51" s="138" t="str">
        <f t="shared" si="20"/>
        <v/>
      </c>
      <c r="BF51" s="138" t="str">
        <f t="shared" si="20"/>
        <v/>
      </c>
      <c r="BG51" s="138" t="str">
        <f t="shared" si="20"/>
        <v/>
      </c>
      <c r="BH51" s="138" t="str">
        <f t="shared" si="20"/>
        <v/>
      </c>
      <c r="BI51" s="138" t="str">
        <f t="shared" si="20"/>
        <v/>
      </c>
      <c r="BJ51" s="138" t="str">
        <f t="shared" si="20"/>
        <v/>
      </c>
      <c r="BK51" s="138" t="str">
        <f t="shared" si="20"/>
        <v/>
      </c>
      <c r="BL51" s="138" t="str">
        <f t="shared" si="20"/>
        <v/>
      </c>
      <c r="BM51" s="138" t="str">
        <f t="shared" si="20"/>
        <v/>
      </c>
      <c r="BN51" s="138" t="str">
        <f t="shared" si="20"/>
        <v/>
      </c>
      <c r="BO51" s="138" t="str">
        <f t="shared" si="20"/>
        <v/>
      </c>
      <c r="BP51" s="138" t="str">
        <f t="shared" si="20"/>
        <v/>
      </c>
      <c r="BQ51" s="138" t="str">
        <f t="shared" si="20"/>
        <v/>
      </c>
      <c r="BR51" s="138" t="str">
        <f t="shared" si="20"/>
        <v/>
      </c>
      <c r="BS51" s="138" t="str">
        <f t="shared" si="20"/>
        <v/>
      </c>
      <c r="BT51" s="138" t="str">
        <f t="shared" ref="BT51:CX51" si="21">IF(OR(BT39&gt;$D$17,BT39=""),"",1.03)</f>
        <v/>
      </c>
      <c r="BU51" s="138" t="str">
        <f t="shared" si="21"/>
        <v/>
      </c>
      <c r="BV51" s="138" t="str">
        <f t="shared" si="21"/>
        <v/>
      </c>
      <c r="BW51" s="138" t="str">
        <f t="shared" si="21"/>
        <v/>
      </c>
      <c r="BX51" s="138" t="str">
        <f t="shared" si="21"/>
        <v/>
      </c>
      <c r="BY51" s="138" t="str">
        <f t="shared" si="21"/>
        <v/>
      </c>
      <c r="BZ51" s="138" t="str">
        <f t="shared" si="21"/>
        <v/>
      </c>
      <c r="CA51" s="138" t="str">
        <f t="shared" si="21"/>
        <v/>
      </c>
      <c r="CB51" s="138" t="str">
        <f t="shared" si="21"/>
        <v/>
      </c>
      <c r="CC51" s="138" t="str">
        <f t="shared" si="21"/>
        <v/>
      </c>
      <c r="CD51" s="138" t="str">
        <f t="shared" si="21"/>
        <v/>
      </c>
      <c r="CE51" s="138" t="str">
        <f t="shared" si="21"/>
        <v/>
      </c>
      <c r="CF51" s="138" t="str">
        <f t="shared" si="21"/>
        <v/>
      </c>
      <c r="CG51" s="138" t="str">
        <f t="shared" si="21"/>
        <v/>
      </c>
      <c r="CH51" s="138" t="str">
        <f t="shared" si="21"/>
        <v/>
      </c>
      <c r="CI51" s="138" t="str">
        <f t="shared" si="21"/>
        <v/>
      </c>
      <c r="CJ51" s="138" t="str">
        <f t="shared" si="21"/>
        <v/>
      </c>
      <c r="CK51" s="138" t="str">
        <f t="shared" si="21"/>
        <v/>
      </c>
      <c r="CL51" s="138" t="str">
        <f t="shared" si="21"/>
        <v/>
      </c>
      <c r="CM51" s="138" t="str">
        <f t="shared" si="21"/>
        <v/>
      </c>
      <c r="CN51" s="138" t="str">
        <f t="shared" si="21"/>
        <v/>
      </c>
      <c r="CO51" s="138" t="str">
        <f t="shared" si="21"/>
        <v/>
      </c>
      <c r="CP51" s="138" t="str">
        <f t="shared" si="21"/>
        <v/>
      </c>
      <c r="CQ51" s="138" t="str">
        <f t="shared" si="21"/>
        <v/>
      </c>
      <c r="CR51" s="138" t="str">
        <f t="shared" si="21"/>
        <v/>
      </c>
      <c r="CS51" s="138" t="str">
        <f t="shared" si="21"/>
        <v/>
      </c>
      <c r="CT51" s="138" t="str">
        <f t="shared" si="21"/>
        <v/>
      </c>
      <c r="CU51" s="138" t="str">
        <f t="shared" si="21"/>
        <v/>
      </c>
      <c r="CV51" s="138" t="str">
        <f t="shared" si="21"/>
        <v/>
      </c>
      <c r="CW51" s="138" t="str">
        <f t="shared" si="21"/>
        <v/>
      </c>
      <c r="CX51" s="139" t="str">
        <f t="shared" si="21"/>
        <v/>
      </c>
    </row>
    <row r="52" spans="2:102">
      <c r="B52" s="93"/>
      <c r="C52" s="55" t="s">
        <v>67</v>
      </c>
      <c r="D52" s="147">
        <f>D28</f>
        <v>0.3342</v>
      </c>
      <c r="E52" s="62"/>
      <c r="F52" s="137"/>
      <c r="G52" s="138">
        <f>IF(OR(G39&gt;$D$17,G39=""),"",0.33)</f>
        <v>0.33</v>
      </c>
      <c r="H52" s="138">
        <f t="shared" ref="H52:BS52" si="22">IF(OR(H39&gt;$D$17,H39=""),"",0.33)</f>
        <v>0.33</v>
      </c>
      <c r="I52" s="138">
        <f t="shared" si="22"/>
        <v>0.33</v>
      </c>
      <c r="J52" s="138">
        <f t="shared" si="22"/>
        <v>0.33</v>
      </c>
      <c r="K52" s="138">
        <f t="shared" si="22"/>
        <v>0.33</v>
      </c>
      <c r="L52" s="138">
        <f t="shared" si="22"/>
        <v>0.33</v>
      </c>
      <c r="M52" s="138">
        <f t="shared" si="22"/>
        <v>0.33</v>
      </c>
      <c r="N52" s="138">
        <f t="shared" si="22"/>
        <v>0.33</v>
      </c>
      <c r="O52" s="138">
        <f t="shared" si="22"/>
        <v>0.33</v>
      </c>
      <c r="P52" s="138">
        <f t="shared" si="22"/>
        <v>0.33</v>
      </c>
      <c r="Q52" s="138">
        <f t="shared" si="22"/>
        <v>0.33</v>
      </c>
      <c r="R52" s="138">
        <f t="shared" si="22"/>
        <v>0.33</v>
      </c>
      <c r="S52" s="138">
        <f t="shared" si="22"/>
        <v>0.33</v>
      </c>
      <c r="T52" s="138">
        <f t="shared" si="22"/>
        <v>0.33</v>
      </c>
      <c r="U52" s="138">
        <f t="shared" si="22"/>
        <v>0.33</v>
      </c>
      <c r="V52" s="138">
        <f t="shared" si="22"/>
        <v>0.33</v>
      </c>
      <c r="W52" s="138">
        <f t="shared" si="22"/>
        <v>0.33</v>
      </c>
      <c r="X52" s="138">
        <f t="shared" si="22"/>
        <v>0.33</v>
      </c>
      <c r="Y52" s="138">
        <f t="shared" si="22"/>
        <v>0.33</v>
      </c>
      <c r="Z52" s="138">
        <f t="shared" si="22"/>
        <v>0.33</v>
      </c>
      <c r="AA52" s="138">
        <f t="shared" si="22"/>
        <v>0.33</v>
      </c>
      <c r="AB52" s="138">
        <f t="shared" si="22"/>
        <v>0.33</v>
      </c>
      <c r="AC52" s="138">
        <f t="shared" si="22"/>
        <v>0.33</v>
      </c>
      <c r="AD52" s="138">
        <f t="shared" si="22"/>
        <v>0.33</v>
      </c>
      <c r="AE52" s="138">
        <f t="shared" si="22"/>
        <v>0.33</v>
      </c>
      <c r="AF52" s="138">
        <f t="shared" si="22"/>
        <v>0.33</v>
      </c>
      <c r="AG52" s="138">
        <f t="shared" si="22"/>
        <v>0.33</v>
      </c>
      <c r="AH52" s="138">
        <f t="shared" si="22"/>
        <v>0.33</v>
      </c>
      <c r="AI52" s="138">
        <f t="shared" si="22"/>
        <v>0.33</v>
      </c>
      <c r="AJ52" s="138">
        <f t="shared" si="22"/>
        <v>0.33</v>
      </c>
      <c r="AK52" s="138">
        <f t="shared" si="22"/>
        <v>0.33</v>
      </c>
      <c r="AL52" s="138">
        <f t="shared" si="22"/>
        <v>0.33</v>
      </c>
      <c r="AM52" s="138">
        <f t="shared" si="22"/>
        <v>0.33</v>
      </c>
      <c r="AN52" s="138">
        <f t="shared" si="22"/>
        <v>0.33</v>
      </c>
      <c r="AO52" s="138">
        <f t="shared" si="22"/>
        <v>0.33</v>
      </c>
      <c r="AP52" s="138">
        <f t="shared" si="22"/>
        <v>0.33</v>
      </c>
      <c r="AQ52" s="138">
        <f t="shared" si="22"/>
        <v>0.33</v>
      </c>
      <c r="AR52" s="138">
        <f t="shared" si="22"/>
        <v>0.33</v>
      </c>
      <c r="AS52" s="138">
        <f t="shared" si="22"/>
        <v>0.33</v>
      </c>
      <c r="AT52" s="138">
        <f t="shared" si="22"/>
        <v>0.33</v>
      </c>
      <c r="AU52" s="138" t="str">
        <f t="shared" si="22"/>
        <v/>
      </c>
      <c r="AV52" s="138" t="str">
        <f t="shared" si="22"/>
        <v/>
      </c>
      <c r="AW52" s="138" t="str">
        <f t="shared" si="22"/>
        <v/>
      </c>
      <c r="AX52" s="138" t="str">
        <f t="shared" si="22"/>
        <v/>
      </c>
      <c r="AY52" s="138" t="str">
        <f t="shared" si="22"/>
        <v/>
      </c>
      <c r="AZ52" s="138" t="str">
        <f t="shared" si="22"/>
        <v/>
      </c>
      <c r="BA52" s="138" t="str">
        <f t="shared" si="22"/>
        <v/>
      </c>
      <c r="BB52" s="138" t="str">
        <f t="shared" si="22"/>
        <v/>
      </c>
      <c r="BC52" s="138" t="str">
        <f t="shared" si="22"/>
        <v/>
      </c>
      <c r="BD52" s="138" t="str">
        <f t="shared" si="22"/>
        <v/>
      </c>
      <c r="BE52" s="138" t="str">
        <f t="shared" si="22"/>
        <v/>
      </c>
      <c r="BF52" s="138" t="str">
        <f t="shared" si="22"/>
        <v/>
      </c>
      <c r="BG52" s="138" t="str">
        <f t="shared" si="22"/>
        <v/>
      </c>
      <c r="BH52" s="138" t="str">
        <f t="shared" si="22"/>
        <v/>
      </c>
      <c r="BI52" s="138" t="str">
        <f t="shared" si="22"/>
        <v/>
      </c>
      <c r="BJ52" s="138" t="str">
        <f t="shared" si="22"/>
        <v/>
      </c>
      <c r="BK52" s="138" t="str">
        <f t="shared" si="22"/>
        <v/>
      </c>
      <c r="BL52" s="138" t="str">
        <f t="shared" si="22"/>
        <v/>
      </c>
      <c r="BM52" s="138" t="str">
        <f t="shared" si="22"/>
        <v/>
      </c>
      <c r="BN52" s="138" t="str">
        <f t="shared" si="22"/>
        <v/>
      </c>
      <c r="BO52" s="138" t="str">
        <f t="shared" si="22"/>
        <v/>
      </c>
      <c r="BP52" s="138" t="str">
        <f t="shared" si="22"/>
        <v/>
      </c>
      <c r="BQ52" s="138" t="str">
        <f t="shared" si="22"/>
        <v/>
      </c>
      <c r="BR52" s="138" t="str">
        <f t="shared" si="22"/>
        <v/>
      </c>
      <c r="BS52" s="138" t="str">
        <f t="shared" si="22"/>
        <v/>
      </c>
      <c r="BT52" s="138" t="str">
        <f t="shared" ref="BT52:CX52" si="23">IF(OR(BT39&gt;$D$17,BT39=""),"",0.33)</f>
        <v/>
      </c>
      <c r="BU52" s="138" t="str">
        <f t="shared" si="23"/>
        <v/>
      </c>
      <c r="BV52" s="138" t="str">
        <f t="shared" si="23"/>
        <v/>
      </c>
      <c r="BW52" s="138" t="str">
        <f t="shared" si="23"/>
        <v/>
      </c>
      <c r="BX52" s="138" t="str">
        <f t="shared" si="23"/>
        <v/>
      </c>
      <c r="BY52" s="138" t="str">
        <f t="shared" si="23"/>
        <v/>
      </c>
      <c r="BZ52" s="138" t="str">
        <f t="shared" si="23"/>
        <v/>
      </c>
      <c r="CA52" s="138" t="str">
        <f t="shared" si="23"/>
        <v/>
      </c>
      <c r="CB52" s="138" t="str">
        <f t="shared" si="23"/>
        <v/>
      </c>
      <c r="CC52" s="138" t="str">
        <f t="shared" si="23"/>
        <v/>
      </c>
      <c r="CD52" s="138" t="str">
        <f t="shared" si="23"/>
        <v/>
      </c>
      <c r="CE52" s="138" t="str">
        <f t="shared" si="23"/>
        <v/>
      </c>
      <c r="CF52" s="138" t="str">
        <f t="shared" si="23"/>
        <v/>
      </c>
      <c r="CG52" s="138" t="str">
        <f t="shared" si="23"/>
        <v/>
      </c>
      <c r="CH52" s="138" t="str">
        <f t="shared" si="23"/>
        <v/>
      </c>
      <c r="CI52" s="138" t="str">
        <f t="shared" si="23"/>
        <v/>
      </c>
      <c r="CJ52" s="138" t="str">
        <f t="shared" si="23"/>
        <v/>
      </c>
      <c r="CK52" s="138" t="str">
        <f t="shared" si="23"/>
        <v/>
      </c>
      <c r="CL52" s="138" t="str">
        <f t="shared" si="23"/>
        <v/>
      </c>
      <c r="CM52" s="138" t="str">
        <f t="shared" si="23"/>
        <v/>
      </c>
      <c r="CN52" s="138" t="str">
        <f t="shared" si="23"/>
        <v/>
      </c>
      <c r="CO52" s="138" t="str">
        <f t="shared" si="23"/>
        <v/>
      </c>
      <c r="CP52" s="138" t="str">
        <f t="shared" si="23"/>
        <v/>
      </c>
      <c r="CQ52" s="138" t="str">
        <f t="shared" si="23"/>
        <v/>
      </c>
      <c r="CR52" s="138" t="str">
        <f t="shared" si="23"/>
        <v/>
      </c>
      <c r="CS52" s="138" t="str">
        <f t="shared" si="23"/>
        <v/>
      </c>
      <c r="CT52" s="138" t="str">
        <f t="shared" si="23"/>
        <v/>
      </c>
      <c r="CU52" s="138" t="str">
        <f t="shared" si="23"/>
        <v/>
      </c>
      <c r="CV52" s="138" t="str">
        <f t="shared" si="23"/>
        <v/>
      </c>
      <c r="CW52" s="138" t="str">
        <f t="shared" si="23"/>
        <v/>
      </c>
      <c r="CX52" s="139" t="str">
        <f t="shared" si="23"/>
        <v/>
      </c>
    </row>
    <row r="53" spans="2:102">
      <c r="B53" s="93"/>
      <c r="C53" s="55" t="s">
        <v>68</v>
      </c>
      <c r="D53" s="148">
        <f>SUM(G53:AT53)*12/40</f>
        <v>8.0020818582095202E-3</v>
      </c>
      <c r="E53" s="149"/>
      <c r="F53" s="137"/>
      <c r="G53" s="138">
        <f>IF(OR(G39&gt;$D$17,G39=""),"",G52*G50)</f>
        <v>6.3340104783022981E-4</v>
      </c>
      <c r="H53" s="138">
        <f t="shared" ref="H53:BS53" si="24">IF(OR(H39&gt;$D$17,H39=""),"",H52*H50)</f>
        <v>6.844908516823433E-4</v>
      </c>
      <c r="I53" s="138">
        <f t="shared" si="24"/>
        <v>6.8645846449473004E-4</v>
      </c>
      <c r="J53" s="138">
        <f t="shared" si="24"/>
        <v>6.702037610673261E-4</v>
      </c>
      <c r="K53" s="138">
        <f t="shared" si="24"/>
        <v>6.5799806620904999E-4</v>
      </c>
      <c r="L53" s="138">
        <f t="shared" si="24"/>
        <v>6.6560604563241409E-4</v>
      </c>
      <c r="M53" s="138">
        <f t="shared" si="24"/>
        <v>6.6144829322682479E-4</v>
      </c>
      <c r="N53" s="138">
        <f t="shared" si="24"/>
        <v>6.6743049951160363E-4</v>
      </c>
      <c r="O53" s="138">
        <f t="shared" si="24"/>
        <v>6.7969645242196071E-4</v>
      </c>
      <c r="P53" s="138">
        <f t="shared" si="24"/>
        <v>6.7514325206797403E-4</v>
      </c>
      <c r="Q53" s="138">
        <f t="shared" si="24"/>
        <v>6.7128211009541731E-4</v>
      </c>
      <c r="R53" s="138">
        <f t="shared" si="24"/>
        <v>6.8285611411428835E-4</v>
      </c>
      <c r="S53" s="138">
        <f t="shared" si="24"/>
        <v>6.7974338089920889E-4</v>
      </c>
      <c r="T53" s="138">
        <f t="shared" si="24"/>
        <v>6.7460784922493107E-4</v>
      </c>
      <c r="U53" s="138">
        <f t="shared" si="24"/>
        <v>6.7244648066085394E-4</v>
      </c>
      <c r="V53" s="138">
        <f t="shared" si="24"/>
        <v>6.8207109234288239E-4</v>
      </c>
      <c r="W53" s="138">
        <f t="shared" si="24"/>
        <v>6.8871883290146129E-4</v>
      </c>
      <c r="X53" s="138">
        <f t="shared" si="24"/>
        <v>6.8655746433738416E-4</v>
      </c>
      <c r="Y53" s="138">
        <f t="shared" si="24"/>
        <v>6.7947254032626374E-4</v>
      </c>
      <c r="Z53" s="138">
        <f t="shared" si="24"/>
        <v>6.7500243343584219E-4</v>
      </c>
      <c r="AA53" s="138">
        <f t="shared" si="24"/>
        <v>6.8441363763834656E-4</v>
      </c>
      <c r="AB53" s="138">
        <f t="shared" si="24"/>
        <v>6.8113493647602478E-4</v>
      </c>
      <c r="AC53" s="138">
        <f t="shared" si="24"/>
        <v>6.7541707348145583E-4</v>
      </c>
      <c r="AD53" s="138">
        <f t="shared" si="24"/>
        <v>6.7061425419910625E-4</v>
      </c>
      <c r="AE53" s="138">
        <f t="shared" si="24"/>
        <v>6.6448069483898806E-4</v>
      </c>
      <c r="AF53" s="138">
        <f t="shared" si="24"/>
        <v>6.7422461143342056E-4</v>
      </c>
      <c r="AG53" s="138">
        <f t="shared" si="24"/>
        <v>6.7995730827978041E-4</v>
      </c>
      <c r="AH53" s="138">
        <f t="shared" si="24"/>
        <v>6.7515448899743062E-4</v>
      </c>
      <c r="AI53" s="138">
        <f t="shared" si="24"/>
        <v>6.6902092963731254E-4</v>
      </c>
      <c r="AJ53" s="138">
        <f t="shared" si="24"/>
        <v>6.6330306664274359E-4</v>
      </c>
      <c r="AK53" s="138">
        <f t="shared" si="24"/>
        <v>6.571695072826255E-4</v>
      </c>
      <c r="AL53" s="138">
        <f t="shared" si="24"/>
        <v>6.5145164428805655E-4</v>
      </c>
      <c r="AM53" s="138">
        <f t="shared" si="24"/>
        <v>6.4531808492793836E-4</v>
      </c>
      <c r="AN53" s="138">
        <f t="shared" si="24"/>
        <v>6.5506200152237108E-4</v>
      </c>
      <c r="AO53" s="138">
        <f t="shared" si="24"/>
        <v>6.4996279078687622E-4</v>
      </c>
      <c r="AP53" s="138">
        <f t="shared" si="24"/>
        <v>6.4424492779230726E-4</v>
      </c>
      <c r="AQ53" s="138">
        <f t="shared" si="24"/>
        <v>6.3811136843218929E-4</v>
      </c>
      <c r="AR53" s="138">
        <f t="shared" si="24"/>
        <v>6.4562682266064984E-4</v>
      </c>
      <c r="AS53" s="138">
        <f t="shared" si="24"/>
        <v>6.3949326330053143E-4</v>
      </c>
      <c r="AT53" s="138">
        <f t="shared" si="24"/>
        <v>6.3480974893058613E-4</v>
      </c>
      <c r="AU53" s="138" t="str">
        <f t="shared" si="24"/>
        <v/>
      </c>
      <c r="AV53" s="138" t="str">
        <f t="shared" si="24"/>
        <v/>
      </c>
      <c r="AW53" s="138" t="str">
        <f t="shared" si="24"/>
        <v/>
      </c>
      <c r="AX53" s="138" t="str">
        <f t="shared" si="24"/>
        <v/>
      </c>
      <c r="AY53" s="138" t="str">
        <f t="shared" si="24"/>
        <v/>
      </c>
      <c r="AZ53" s="138" t="str">
        <f t="shared" si="24"/>
        <v/>
      </c>
      <c r="BA53" s="138" t="str">
        <f t="shared" si="24"/>
        <v/>
      </c>
      <c r="BB53" s="138" t="str">
        <f t="shared" si="24"/>
        <v/>
      </c>
      <c r="BC53" s="138" t="str">
        <f t="shared" si="24"/>
        <v/>
      </c>
      <c r="BD53" s="138" t="str">
        <f t="shared" si="24"/>
        <v/>
      </c>
      <c r="BE53" s="138" t="str">
        <f t="shared" si="24"/>
        <v/>
      </c>
      <c r="BF53" s="138" t="str">
        <f t="shared" si="24"/>
        <v/>
      </c>
      <c r="BG53" s="138" t="str">
        <f t="shared" si="24"/>
        <v/>
      </c>
      <c r="BH53" s="138" t="str">
        <f t="shared" si="24"/>
        <v/>
      </c>
      <c r="BI53" s="138" t="str">
        <f t="shared" si="24"/>
        <v/>
      </c>
      <c r="BJ53" s="138" t="str">
        <f t="shared" si="24"/>
        <v/>
      </c>
      <c r="BK53" s="138" t="str">
        <f t="shared" si="24"/>
        <v/>
      </c>
      <c r="BL53" s="138" t="str">
        <f t="shared" si="24"/>
        <v/>
      </c>
      <c r="BM53" s="138" t="str">
        <f t="shared" si="24"/>
        <v/>
      </c>
      <c r="BN53" s="138" t="str">
        <f t="shared" si="24"/>
        <v/>
      </c>
      <c r="BO53" s="138" t="str">
        <f t="shared" si="24"/>
        <v/>
      </c>
      <c r="BP53" s="138" t="str">
        <f t="shared" si="24"/>
        <v/>
      </c>
      <c r="BQ53" s="138" t="str">
        <f t="shared" si="24"/>
        <v/>
      </c>
      <c r="BR53" s="138" t="str">
        <f t="shared" si="24"/>
        <v/>
      </c>
      <c r="BS53" s="138" t="str">
        <f t="shared" si="24"/>
        <v/>
      </c>
      <c r="BT53" s="138" t="str">
        <f t="shared" ref="BT53:CX53" si="25">IF(OR(BT39&gt;$D$17,BT39=""),"",BT52*BT50)</f>
        <v/>
      </c>
      <c r="BU53" s="138" t="str">
        <f t="shared" si="25"/>
        <v/>
      </c>
      <c r="BV53" s="138" t="str">
        <f t="shared" si="25"/>
        <v/>
      </c>
      <c r="BW53" s="138" t="str">
        <f t="shared" si="25"/>
        <v/>
      </c>
      <c r="BX53" s="138" t="str">
        <f t="shared" si="25"/>
        <v/>
      </c>
      <c r="BY53" s="138" t="str">
        <f t="shared" si="25"/>
        <v/>
      </c>
      <c r="BZ53" s="138" t="str">
        <f t="shared" si="25"/>
        <v/>
      </c>
      <c r="CA53" s="138" t="str">
        <f t="shared" si="25"/>
        <v/>
      </c>
      <c r="CB53" s="138" t="str">
        <f t="shared" si="25"/>
        <v/>
      </c>
      <c r="CC53" s="138" t="str">
        <f t="shared" si="25"/>
        <v/>
      </c>
      <c r="CD53" s="138" t="str">
        <f t="shared" si="25"/>
        <v/>
      </c>
      <c r="CE53" s="138" t="str">
        <f t="shared" si="25"/>
        <v/>
      </c>
      <c r="CF53" s="138" t="str">
        <f t="shared" si="25"/>
        <v/>
      </c>
      <c r="CG53" s="138" t="str">
        <f t="shared" si="25"/>
        <v/>
      </c>
      <c r="CH53" s="138" t="str">
        <f t="shared" si="25"/>
        <v/>
      </c>
      <c r="CI53" s="138" t="str">
        <f t="shared" si="25"/>
        <v/>
      </c>
      <c r="CJ53" s="138" t="str">
        <f t="shared" si="25"/>
        <v/>
      </c>
      <c r="CK53" s="138" t="str">
        <f t="shared" si="25"/>
        <v/>
      </c>
      <c r="CL53" s="138" t="str">
        <f t="shared" si="25"/>
        <v/>
      </c>
      <c r="CM53" s="138" t="str">
        <f t="shared" si="25"/>
        <v/>
      </c>
      <c r="CN53" s="138" t="str">
        <f t="shared" si="25"/>
        <v/>
      </c>
      <c r="CO53" s="138" t="str">
        <f t="shared" si="25"/>
        <v/>
      </c>
      <c r="CP53" s="138" t="str">
        <f t="shared" si="25"/>
        <v/>
      </c>
      <c r="CQ53" s="138" t="str">
        <f t="shared" si="25"/>
        <v/>
      </c>
      <c r="CR53" s="138" t="str">
        <f t="shared" si="25"/>
        <v/>
      </c>
      <c r="CS53" s="138" t="str">
        <f t="shared" si="25"/>
        <v/>
      </c>
      <c r="CT53" s="138" t="str">
        <f t="shared" si="25"/>
        <v/>
      </c>
      <c r="CU53" s="138" t="str">
        <f t="shared" si="25"/>
        <v/>
      </c>
      <c r="CV53" s="138" t="str">
        <f t="shared" si="25"/>
        <v/>
      </c>
      <c r="CW53" s="138" t="str">
        <f t="shared" si="25"/>
        <v/>
      </c>
      <c r="CX53" s="139" t="str">
        <f t="shared" si="25"/>
        <v/>
      </c>
    </row>
    <row r="54" spans="2:102">
      <c r="B54" s="93"/>
      <c r="C54" s="55" t="s">
        <v>69</v>
      </c>
      <c r="D54" s="55"/>
      <c r="E54" s="62">
        <f>NPV($D$34,G54:CX54)</f>
        <v>-63.027191211632136</v>
      </c>
      <c r="F54" s="137"/>
      <c r="G54" s="138">
        <f>IF(OR(G39&gt;$D$17,G39=""),"",-G50*G51*G52*G40)</f>
        <v>-3.2620153963256837</v>
      </c>
      <c r="H54" s="138">
        <f t="shared" ref="H54:BS54" si="26">IF(OR(H39&gt;$D$17,H39=""),"",-H50*H51*H52*H40)</f>
        <v>-3.443428683309306</v>
      </c>
      <c r="I54" s="138">
        <f t="shared" si="26"/>
        <v>-3.3710782239331012</v>
      </c>
      <c r="J54" s="138">
        <f t="shared" si="26"/>
        <v>-3.210644469951637</v>
      </c>
      <c r="K54" s="138">
        <f t="shared" si="26"/>
        <v>-3.0727267728109511</v>
      </c>
      <c r="L54" s="138">
        <f t="shared" si="26"/>
        <v>-3.0275815832914668</v>
      </c>
      <c r="M54" s="138">
        <f t="shared" si="26"/>
        <v>-2.9281925227170373</v>
      </c>
      <c r="N54" s="138">
        <f t="shared" si="26"/>
        <v>-2.8731585204926184</v>
      </c>
      <c r="O54" s="138">
        <f t="shared" si="26"/>
        <v>-2.8426271639288121</v>
      </c>
      <c r="P54" s="138">
        <f t="shared" si="26"/>
        <v>-2.7404911129636869</v>
      </c>
      <c r="Q54" s="138">
        <f t="shared" si="26"/>
        <v>-2.6418824213572281</v>
      </c>
      <c r="R54" s="138">
        <f t="shared" si="26"/>
        <v>-2.6027429180431398</v>
      </c>
      <c r="S54" s="138">
        <f t="shared" si="26"/>
        <v>-2.5062508637176446</v>
      </c>
      <c r="T54" s="138">
        <f t="shared" si="26"/>
        <v>-2.4030048909008701</v>
      </c>
      <c r="U54" s="138">
        <f t="shared" si="26"/>
        <v>-2.3109422085204985</v>
      </c>
      <c r="V54" s="138">
        <f t="shared" si="26"/>
        <v>-2.2581183884348954</v>
      </c>
      <c r="W54" s="138">
        <f t="shared" si="26"/>
        <v>-2.1930565507767934</v>
      </c>
      <c r="X54" s="138">
        <f t="shared" si="26"/>
        <v>-2.0990436319637045</v>
      </c>
      <c r="Y54" s="138">
        <f t="shared" si="26"/>
        <v>-1.9908198699043989</v>
      </c>
      <c r="Z54" s="138">
        <f t="shared" si="26"/>
        <v>-1.8913991064617484</v>
      </c>
      <c r="AA54" s="138">
        <f t="shared" si="26"/>
        <v>-1.8299064974797004</v>
      </c>
      <c r="AB54" s="138">
        <f t="shared" si="26"/>
        <v>-1.733361877489028</v>
      </c>
      <c r="AC54" s="138">
        <f t="shared" si="26"/>
        <v>-1.631435053621195</v>
      </c>
      <c r="AD54" s="138">
        <f t="shared" si="26"/>
        <v>-1.5327462056374019</v>
      </c>
      <c r="AE54" s="138">
        <f t="shared" si="26"/>
        <v>-1.4321045642146339</v>
      </c>
      <c r="AF54" s="138">
        <f t="shared" si="26"/>
        <v>-1.3648741273135181</v>
      </c>
      <c r="AG54" s="138">
        <f t="shared" si="26"/>
        <v>-1.2871563885049082</v>
      </c>
      <c r="AH54" s="138">
        <f t="shared" si="26"/>
        <v>-1.1890320827763188</v>
      </c>
      <c r="AI54" s="138">
        <f t="shared" si="26"/>
        <v>-1.0896674296183955</v>
      </c>
      <c r="AJ54" s="138">
        <f t="shared" si="26"/>
        <v>-0.99221137156138628</v>
      </c>
      <c r="AK54" s="138">
        <f t="shared" si="26"/>
        <v>-0.89537288036613638</v>
      </c>
      <c r="AL54" s="138">
        <f t="shared" si="26"/>
        <v>-0.80034784618202803</v>
      </c>
      <c r="AM54" s="138">
        <f t="shared" si="26"/>
        <v>-0.7060671337013702</v>
      </c>
      <c r="AN54" s="138">
        <f t="shared" si="26"/>
        <v>-0.62833498193162585</v>
      </c>
      <c r="AO54" s="138">
        <f t="shared" si="26"/>
        <v>-0.53540162767559873</v>
      </c>
      <c r="AP54" s="138">
        <f t="shared" si="26"/>
        <v>-0.44308866173752287</v>
      </c>
      <c r="AQ54" s="138">
        <f t="shared" si="26"/>
        <v>-0.35176798626935296</v>
      </c>
      <c r="AR54" s="138">
        <f t="shared" si="26"/>
        <v>-0.26744433659916028</v>
      </c>
      <c r="AS54" s="138">
        <f t="shared" si="26"/>
        <v>-0.17694073801445814</v>
      </c>
      <c r="AT54" s="138">
        <f t="shared" si="26"/>
        <v>-8.799079944659538E-2</v>
      </c>
      <c r="AU54" s="138" t="str">
        <f t="shared" si="26"/>
        <v/>
      </c>
      <c r="AV54" s="138" t="str">
        <f t="shared" si="26"/>
        <v/>
      </c>
      <c r="AW54" s="138" t="str">
        <f t="shared" si="26"/>
        <v/>
      </c>
      <c r="AX54" s="138" t="str">
        <f t="shared" si="26"/>
        <v/>
      </c>
      <c r="AY54" s="138" t="str">
        <f t="shared" si="26"/>
        <v/>
      </c>
      <c r="AZ54" s="138" t="str">
        <f t="shared" si="26"/>
        <v/>
      </c>
      <c r="BA54" s="138" t="str">
        <f t="shared" si="26"/>
        <v/>
      </c>
      <c r="BB54" s="138" t="str">
        <f t="shared" si="26"/>
        <v/>
      </c>
      <c r="BC54" s="138" t="str">
        <f t="shared" si="26"/>
        <v/>
      </c>
      <c r="BD54" s="138" t="str">
        <f t="shared" si="26"/>
        <v/>
      </c>
      <c r="BE54" s="138" t="str">
        <f t="shared" si="26"/>
        <v/>
      </c>
      <c r="BF54" s="138" t="str">
        <f t="shared" si="26"/>
        <v/>
      </c>
      <c r="BG54" s="138" t="str">
        <f t="shared" si="26"/>
        <v/>
      </c>
      <c r="BH54" s="138" t="str">
        <f t="shared" si="26"/>
        <v/>
      </c>
      <c r="BI54" s="138" t="str">
        <f t="shared" si="26"/>
        <v/>
      </c>
      <c r="BJ54" s="138" t="str">
        <f t="shared" si="26"/>
        <v/>
      </c>
      <c r="BK54" s="138" t="str">
        <f t="shared" si="26"/>
        <v/>
      </c>
      <c r="BL54" s="138" t="str">
        <f t="shared" si="26"/>
        <v/>
      </c>
      <c r="BM54" s="138" t="str">
        <f t="shared" si="26"/>
        <v/>
      </c>
      <c r="BN54" s="138" t="str">
        <f t="shared" si="26"/>
        <v/>
      </c>
      <c r="BO54" s="138" t="str">
        <f t="shared" si="26"/>
        <v/>
      </c>
      <c r="BP54" s="138" t="str">
        <f t="shared" si="26"/>
        <v/>
      </c>
      <c r="BQ54" s="138" t="str">
        <f t="shared" si="26"/>
        <v/>
      </c>
      <c r="BR54" s="138" t="str">
        <f t="shared" si="26"/>
        <v/>
      </c>
      <c r="BS54" s="138" t="str">
        <f t="shared" si="26"/>
        <v/>
      </c>
      <c r="BT54" s="138" t="str">
        <f t="shared" ref="BT54:CX54" si="27">IF(OR(BT39&gt;$D$17,BT39=""),"",-BT50*BT51*BT52*BT40)</f>
        <v/>
      </c>
      <c r="BU54" s="138" t="str">
        <f t="shared" si="27"/>
        <v/>
      </c>
      <c r="BV54" s="138" t="str">
        <f t="shared" si="27"/>
        <v/>
      </c>
      <c r="BW54" s="138" t="str">
        <f t="shared" si="27"/>
        <v/>
      </c>
      <c r="BX54" s="138" t="str">
        <f t="shared" si="27"/>
        <v/>
      </c>
      <c r="BY54" s="138" t="str">
        <f t="shared" si="27"/>
        <v/>
      </c>
      <c r="BZ54" s="138" t="str">
        <f t="shared" si="27"/>
        <v/>
      </c>
      <c r="CA54" s="138" t="str">
        <f t="shared" si="27"/>
        <v/>
      </c>
      <c r="CB54" s="138" t="str">
        <f t="shared" si="27"/>
        <v/>
      </c>
      <c r="CC54" s="138" t="str">
        <f t="shared" si="27"/>
        <v/>
      </c>
      <c r="CD54" s="138" t="str">
        <f t="shared" si="27"/>
        <v/>
      </c>
      <c r="CE54" s="138" t="str">
        <f t="shared" si="27"/>
        <v/>
      </c>
      <c r="CF54" s="138" t="str">
        <f t="shared" si="27"/>
        <v/>
      </c>
      <c r="CG54" s="138" t="str">
        <f t="shared" si="27"/>
        <v/>
      </c>
      <c r="CH54" s="138" t="str">
        <f t="shared" si="27"/>
        <v/>
      </c>
      <c r="CI54" s="138" t="str">
        <f t="shared" si="27"/>
        <v/>
      </c>
      <c r="CJ54" s="138" t="str">
        <f t="shared" si="27"/>
        <v/>
      </c>
      <c r="CK54" s="138" t="str">
        <f t="shared" si="27"/>
        <v/>
      </c>
      <c r="CL54" s="138" t="str">
        <f t="shared" si="27"/>
        <v/>
      </c>
      <c r="CM54" s="138" t="str">
        <f t="shared" si="27"/>
        <v/>
      </c>
      <c r="CN54" s="138" t="str">
        <f t="shared" si="27"/>
        <v/>
      </c>
      <c r="CO54" s="138" t="str">
        <f t="shared" si="27"/>
        <v/>
      </c>
      <c r="CP54" s="138" t="str">
        <f t="shared" si="27"/>
        <v/>
      </c>
      <c r="CQ54" s="138" t="str">
        <f t="shared" si="27"/>
        <v/>
      </c>
      <c r="CR54" s="138" t="str">
        <f t="shared" si="27"/>
        <v/>
      </c>
      <c r="CS54" s="138" t="str">
        <f t="shared" si="27"/>
        <v/>
      </c>
      <c r="CT54" s="138" t="str">
        <f t="shared" si="27"/>
        <v/>
      </c>
      <c r="CU54" s="138" t="str">
        <f t="shared" si="27"/>
        <v/>
      </c>
      <c r="CV54" s="138" t="str">
        <f t="shared" si="27"/>
        <v/>
      </c>
      <c r="CW54" s="138" t="str">
        <f t="shared" si="27"/>
        <v/>
      </c>
      <c r="CX54" s="139" t="str">
        <f t="shared" si="27"/>
        <v/>
      </c>
    </row>
    <row r="55" spans="2:102">
      <c r="B55" s="93"/>
      <c r="C55" s="55" t="s">
        <v>70</v>
      </c>
      <c r="D55" s="125">
        <f>D30</f>
        <v>0.01</v>
      </c>
      <c r="E55" s="62">
        <f>NPV($D$34,G55:CX55)</f>
        <v>-1.8668456043453261</v>
      </c>
      <c r="F55" s="138">
        <f>IF(OR(F39&gt;$D$17,F39=""),"",-$D$55*(F44+F45+F48))</f>
        <v>0</v>
      </c>
      <c r="G55" s="138">
        <f>IF(OR(G39&gt;$D$17,G39=""),"",-$D$55*(G44+G45+G48))</f>
        <v>-0.10241125000000002</v>
      </c>
      <c r="H55" s="138">
        <f t="shared" ref="H55:BS55" si="28">IF(OR(H39&gt;$D$17,H39=""),"",-$D$55*(H44+H45+H48))</f>
        <v>-0.10003774249657023</v>
      </c>
      <c r="I55" s="138">
        <f t="shared" si="28"/>
        <v>-9.7655116768481542E-2</v>
      </c>
      <c r="J55" s="138">
        <f t="shared" si="28"/>
        <v>-9.5263337786554048E-2</v>
      </c>
      <c r="K55" s="138">
        <f t="shared" si="28"/>
        <v>-9.2862370387037679E-2</v>
      </c>
      <c r="L55" s="138">
        <f t="shared" si="28"/>
        <v>-9.0452179271094821E-2</v>
      </c>
      <c r="M55" s="138">
        <f t="shared" si="28"/>
        <v>-8.803272900428151E-2</v>
      </c>
      <c r="N55" s="138">
        <f t="shared" si="28"/>
        <v>-8.5603984016026605E-2</v>
      </c>
      <c r="O55" s="138">
        <f t="shared" si="28"/>
        <v>-8.3165908599108426E-2</v>
      </c>
      <c r="P55" s="138">
        <f t="shared" si="28"/>
        <v>-8.071846690913026E-2</v>
      </c>
      <c r="Q55" s="138">
        <f t="shared" si="28"/>
        <v>-7.826162296399311E-2</v>
      </c>
      <c r="R55" s="138">
        <f t="shared" si="28"/>
        <v>-7.579534064336671E-2</v>
      </c>
      <c r="S55" s="138">
        <f t="shared" si="28"/>
        <v>-7.3319583688158593E-2</v>
      </c>
      <c r="T55" s="138">
        <f t="shared" si="28"/>
        <v>-7.0834315699980832E-2</v>
      </c>
      <c r="U55" s="138">
        <f t="shared" si="28"/>
        <v>-6.8339500140615211E-2</v>
      </c>
      <c r="V55" s="138">
        <f t="shared" si="28"/>
        <v>-6.5835100331475702E-2</v>
      </c>
      <c r="W55" s="138">
        <f t="shared" si="28"/>
        <v>-6.332107945306939E-2</v>
      </c>
      <c r="X55" s="138">
        <f t="shared" si="28"/>
        <v>-6.0797400544455184E-2</v>
      </c>
      <c r="Y55" s="138">
        <f t="shared" si="28"/>
        <v>-5.8264026502700399E-2</v>
      </c>
      <c r="Z55" s="138">
        <f t="shared" si="28"/>
        <v>-5.5720920082335222E-2</v>
      </c>
      <c r="AA55" s="138">
        <f t="shared" si="28"/>
        <v>-5.3168043894805117E-2</v>
      </c>
      <c r="AB55" s="138">
        <f t="shared" si="28"/>
        <v>-5.0605360407921268E-2</v>
      </c>
      <c r="AC55" s="138">
        <f t="shared" si="28"/>
        <v>-4.8032831945308628E-2</v>
      </c>
      <c r="AD55" s="138">
        <f t="shared" si="28"/>
        <v>-4.545042068585211E-2</v>
      </c>
      <c r="AE55" s="138">
        <f t="shared" si="28"/>
        <v>-4.2858088663140566E-2</v>
      </c>
      <c r="AF55" s="138">
        <f t="shared" si="28"/>
        <v>-4.0255797764908376E-2</v>
      </c>
      <c r="AG55" s="138">
        <f t="shared" si="28"/>
        <v>-3.7643509732475496E-2</v>
      </c>
      <c r="AH55" s="138">
        <f t="shared" si="28"/>
        <v>-3.5021186160184702E-2</v>
      </c>
      <c r="AI55" s="138">
        <f t="shared" si="28"/>
        <v>-3.2388788494836986E-2</v>
      </c>
      <c r="AJ55" s="138">
        <f t="shared" si="28"/>
        <v>-2.9746278035124928E-2</v>
      </c>
      <c r="AK55" s="138">
        <f t="shared" si="28"/>
        <v>-2.7093615931063467E-2</v>
      </c>
      <c r="AL55" s="138">
        <f t="shared" si="28"/>
        <v>-2.4430763183418913E-2</v>
      </c>
      <c r="AM55" s="138">
        <f t="shared" si="28"/>
        <v>-2.175768064313547E-2</v>
      </c>
      <c r="AN55" s="138">
        <f t="shared" si="28"/>
        <v>-1.9074329010759786E-2</v>
      </c>
      <c r="AO55" s="138">
        <f t="shared" si="28"/>
        <v>-1.638066883586306E-2</v>
      </c>
      <c r="AP55" s="138">
        <f t="shared" si="28"/>
        <v>-1.3676660516461102E-2</v>
      </c>
      <c r="AQ55" s="138">
        <f t="shared" si="28"/>
        <v>-1.0962264298432105E-2</v>
      </c>
      <c r="AR55" s="138">
        <f t="shared" si="28"/>
        <v>-8.2374402749321833E-3</v>
      </c>
      <c r="AS55" s="138">
        <f t="shared" si="28"/>
        <v>-5.5021483858086482E-3</v>
      </c>
      <c r="AT55" s="138">
        <f t="shared" si="28"/>
        <v>-2.7563484170110655E-3</v>
      </c>
      <c r="AU55" s="138" t="str">
        <f t="shared" si="28"/>
        <v/>
      </c>
      <c r="AV55" s="138" t="str">
        <f t="shared" si="28"/>
        <v/>
      </c>
      <c r="AW55" s="138" t="str">
        <f t="shared" si="28"/>
        <v/>
      </c>
      <c r="AX55" s="138" t="str">
        <f t="shared" si="28"/>
        <v/>
      </c>
      <c r="AY55" s="138" t="str">
        <f t="shared" si="28"/>
        <v/>
      </c>
      <c r="AZ55" s="138" t="str">
        <f t="shared" si="28"/>
        <v/>
      </c>
      <c r="BA55" s="138" t="str">
        <f t="shared" si="28"/>
        <v/>
      </c>
      <c r="BB55" s="138" t="str">
        <f t="shared" si="28"/>
        <v/>
      </c>
      <c r="BC55" s="138" t="str">
        <f t="shared" si="28"/>
        <v/>
      </c>
      <c r="BD55" s="138" t="str">
        <f t="shared" si="28"/>
        <v/>
      </c>
      <c r="BE55" s="138" t="str">
        <f t="shared" si="28"/>
        <v/>
      </c>
      <c r="BF55" s="138" t="str">
        <f t="shared" si="28"/>
        <v/>
      </c>
      <c r="BG55" s="138" t="str">
        <f t="shared" si="28"/>
        <v/>
      </c>
      <c r="BH55" s="138" t="str">
        <f t="shared" si="28"/>
        <v/>
      </c>
      <c r="BI55" s="138" t="str">
        <f t="shared" si="28"/>
        <v/>
      </c>
      <c r="BJ55" s="138" t="str">
        <f t="shared" si="28"/>
        <v/>
      </c>
      <c r="BK55" s="138" t="str">
        <f t="shared" si="28"/>
        <v/>
      </c>
      <c r="BL55" s="138" t="str">
        <f t="shared" si="28"/>
        <v/>
      </c>
      <c r="BM55" s="138" t="str">
        <f t="shared" si="28"/>
        <v/>
      </c>
      <c r="BN55" s="138" t="str">
        <f t="shared" si="28"/>
        <v/>
      </c>
      <c r="BO55" s="138" t="str">
        <f t="shared" si="28"/>
        <v/>
      </c>
      <c r="BP55" s="138" t="str">
        <f t="shared" si="28"/>
        <v/>
      </c>
      <c r="BQ55" s="138" t="str">
        <f t="shared" si="28"/>
        <v/>
      </c>
      <c r="BR55" s="138" t="str">
        <f t="shared" si="28"/>
        <v/>
      </c>
      <c r="BS55" s="138" t="str">
        <f t="shared" si="28"/>
        <v/>
      </c>
      <c r="BT55" s="138" t="str">
        <f t="shared" ref="BT55:CX55" si="29">IF(OR(BT39&gt;$D$17,BT39=""),"",-$D$55*(BT44+BT45+BT48))</f>
        <v/>
      </c>
      <c r="BU55" s="138" t="str">
        <f t="shared" si="29"/>
        <v/>
      </c>
      <c r="BV55" s="138" t="str">
        <f t="shared" si="29"/>
        <v/>
      </c>
      <c r="BW55" s="138" t="str">
        <f t="shared" si="29"/>
        <v/>
      </c>
      <c r="BX55" s="138" t="str">
        <f t="shared" si="29"/>
        <v/>
      </c>
      <c r="BY55" s="138" t="str">
        <f t="shared" si="29"/>
        <v/>
      </c>
      <c r="BZ55" s="138" t="str">
        <f t="shared" si="29"/>
        <v/>
      </c>
      <c r="CA55" s="138" t="str">
        <f t="shared" si="29"/>
        <v/>
      </c>
      <c r="CB55" s="138" t="str">
        <f t="shared" si="29"/>
        <v/>
      </c>
      <c r="CC55" s="138" t="str">
        <f t="shared" si="29"/>
        <v/>
      </c>
      <c r="CD55" s="138" t="str">
        <f t="shared" si="29"/>
        <v/>
      </c>
      <c r="CE55" s="138" t="str">
        <f t="shared" si="29"/>
        <v/>
      </c>
      <c r="CF55" s="138" t="str">
        <f t="shared" si="29"/>
        <v/>
      </c>
      <c r="CG55" s="138" t="str">
        <f t="shared" si="29"/>
        <v/>
      </c>
      <c r="CH55" s="138" t="str">
        <f t="shared" si="29"/>
        <v/>
      </c>
      <c r="CI55" s="138" t="str">
        <f t="shared" si="29"/>
        <v/>
      </c>
      <c r="CJ55" s="138" t="str">
        <f t="shared" si="29"/>
        <v/>
      </c>
      <c r="CK55" s="138" t="str">
        <f t="shared" si="29"/>
        <v/>
      </c>
      <c r="CL55" s="138" t="str">
        <f t="shared" si="29"/>
        <v/>
      </c>
      <c r="CM55" s="138" t="str">
        <f t="shared" si="29"/>
        <v/>
      </c>
      <c r="CN55" s="138" t="str">
        <f t="shared" si="29"/>
        <v/>
      </c>
      <c r="CO55" s="138" t="str">
        <f t="shared" si="29"/>
        <v/>
      </c>
      <c r="CP55" s="138" t="str">
        <f t="shared" si="29"/>
        <v/>
      </c>
      <c r="CQ55" s="138" t="str">
        <f t="shared" si="29"/>
        <v/>
      </c>
      <c r="CR55" s="138" t="str">
        <f t="shared" si="29"/>
        <v/>
      </c>
      <c r="CS55" s="138" t="str">
        <f t="shared" si="29"/>
        <v/>
      </c>
      <c r="CT55" s="138" t="str">
        <f t="shared" si="29"/>
        <v/>
      </c>
      <c r="CU55" s="138" t="str">
        <f t="shared" si="29"/>
        <v/>
      </c>
      <c r="CV55" s="138" t="str">
        <f t="shared" si="29"/>
        <v/>
      </c>
      <c r="CW55" s="138" t="str">
        <f t="shared" si="29"/>
        <v/>
      </c>
      <c r="CX55" s="139" t="str">
        <f t="shared" si="29"/>
        <v/>
      </c>
    </row>
    <row r="56" spans="2:102">
      <c r="B56" s="93"/>
      <c r="C56" s="55" t="s">
        <v>71</v>
      </c>
      <c r="D56" s="125">
        <f>D31</f>
        <v>8.3333333333333332E-3</v>
      </c>
      <c r="E56" s="62">
        <f>NPV($D$34,G56:CX56)</f>
        <v>-0.75953797570470627</v>
      </c>
      <c r="F56" s="138">
        <f>IF(OR(F39&gt;$D$17,F39=""),"",$D$56*(F46+F47))</f>
        <v>-0.29583333333333334</v>
      </c>
      <c r="G56" s="138">
        <f>IF(OR(G39&gt;$D$17,G39=""),"",$D$56*(G46+G47))</f>
        <v>-4.1666666666666664E-2</v>
      </c>
      <c r="H56" s="138">
        <f t="shared" ref="H56:BS56" si="30">IF(OR(H39&gt;$D$17,H39=""),"",$D$56*(H46+H47))</f>
        <v>-4.0700990083515513E-2</v>
      </c>
      <c r="I56" s="138">
        <f t="shared" si="30"/>
        <v>-3.973160369282408E-2</v>
      </c>
      <c r="J56" s="138">
        <f t="shared" si="30"/>
        <v>-3.8758493242748417E-2</v>
      </c>
      <c r="K56" s="138">
        <f t="shared" si="30"/>
        <v>-3.7781644426693704E-2</v>
      </c>
      <c r="L56" s="138">
        <f t="shared" si="30"/>
        <v>-3.6801042883103985E-2</v>
      </c>
      <c r="M56" s="138">
        <f t="shared" si="30"/>
        <v>-3.5816674195250968E-2</v>
      </c>
      <c r="N56" s="138">
        <f t="shared" si="30"/>
        <v>-3.4828523891022124E-2</v>
      </c>
      <c r="O56" s="138">
        <f t="shared" si="30"/>
        <v>-3.383657744270787E-2</v>
      </c>
      <c r="P56" s="138">
        <f t="shared" si="30"/>
        <v>-3.2840820266788008E-2</v>
      </c>
      <c r="Q56" s="138">
        <f t="shared" si="30"/>
        <v>-3.184123772371731E-2</v>
      </c>
      <c r="R56" s="138">
        <f t="shared" si="30"/>
        <v>-3.0837815117710325E-2</v>
      </c>
      <c r="S56" s="138">
        <f t="shared" si="30"/>
        <v>-2.9830537696525265E-2</v>
      </c>
      <c r="T56" s="138">
        <f t="shared" si="30"/>
        <v>-2.881939065124715E-2</v>
      </c>
      <c r="U56" s="138">
        <f t="shared" si="30"/>
        <v>-2.7804359116070088E-2</v>
      </c>
      <c r="V56" s="138">
        <f t="shared" si="30"/>
        <v>-2.6785428168078725E-2</v>
      </c>
      <c r="W56" s="138">
        <f t="shared" si="30"/>
        <v>-2.5762582827028827E-2</v>
      </c>
      <c r="X56" s="138">
        <f t="shared" si="30"/>
        <v>-2.4735808055127057E-2</v>
      </c>
      <c r="Y56" s="138">
        <f t="shared" si="30"/>
        <v>-2.3705088756809906E-2</v>
      </c>
      <c r="Z56" s="138">
        <f t="shared" si="30"/>
        <v>-2.2670409778521718E-2</v>
      </c>
      <c r="AA56" s="138">
        <f t="shared" si="30"/>
        <v>-2.163175590849194E-2</v>
      </c>
      <c r="AB56" s="138">
        <f t="shared" si="30"/>
        <v>-2.0589111876511464E-2</v>
      </c>
      <c r="AC56" s="138">
        <f t="shared" si="30"/>
        <v>-1.9542462353708125E-2</v>
      </c>
      <c r="AD56" s="138">
        <f t="shared" si="30"/>
        <v>-1.8491791952321354E-2</v>
      </c>
      <c r="AE56" s="138">
        <f t="shared" si="30"/>
        <v>-1.7437085225475921E-2</v>
      </c>
      <c r="AF56" s="138">
        <f t="shared" si="30"/>
        <v>-1.6378326666954855E-2</v>
      </c>
      <c r="AG56" s="138">
        <f t="shared" si="30"/>
        <v>-1.531550071097147E-2</v>
      </c>
      <c r="AH56" s="138">
        <f t="shared" si="30"/>
        <v>-1.4248591731940518E-2</v>
      </c>
      <c r="AI56" s="138">
        <f t="shared" si="30"/>
        <v>-1.3177584044248458E-2</v>
      </c>
      <c r="AJ56" s="138">
        <f t="shared" si="30"/>
        <v>-1.2102461902022845E-2</v>
      </c>
      <c r="AK56" s="138">
        <f t="shared" si="30"/>
        <v>-1.1023209498900849E-2</v>
      </c>
      <c r="AL56" s="138">
        <f t="shared" si="30"/>
        <v>-9.9398109677968603E-3</v>
      </c>
      <c r="AM56" s="138">
        <f t="shared" si="30"/>
        <v>-8.8522503806692104E-3</v>
      </c>
      <c r="AN56" s="138">
        <f t="shared" si="30"/>
        <v>-7.7605117482860159E-3</v>
      </c>
      <c r="AO56" s="138">
        <f t="shared" si="30"/>
        <v>-6.6645790199900811E-3</v>
      </c>
      <c r="AP56" s="138">
        <f t="shared" si="30"/>
        <v>-5.5644360834629421E-3</v>
      </c>
      <c r="AQ56" s="138">
        <f t="shared" si="30"/>
        <v>-4.4600667644879776E-3</v>
      </c>
      <c r="AR56" s="138">
        <f t="shared" si="30"/>
        <v>-3.3514548267126192E-3</v>
      </c>
      <c r="AS56" s="138">
        <f t="shared" si="30"/>
        <v>-2.2385839714096399E-3</v>
      </c>
      <c r="AT56" s="138">
        <f t="shared" si="30"/>
        <v>-1.1214378372375374E-3</v>
      </c>
      <c r="AU56" s="138" t="str">
        <f t="shared" si="30"/>
        <v/>
      </c>
      <c r="AV56" s="138" t="str">
        <f t="shared" si="30"/>
        <v/>
      </c>
      <c r="AW56" s="138" t="str">
        <f t="shared" si="30"/>
        <v/>
      </c>
      <c r="AX56" s="138" t="str">
        <f t="shared" si="30"/>
        <v/>
      </c>
      <c r="AY56" s="138" t="str">
        <f t="shared" si="30"/>
        <v/>
      </c>
      <c r="AZ56" s="138" t="str">
        <f t="shared" si="30"/>
        <v/>
      </c>
      <c r="BA56" s="138" t="str">
        <f t="shared" si="30"/>
        <v/>
      </c>
      <c r="BB56" s="138" t="str">
        <f t="shared" si="30"/>
        <v/>
      </c>
      <c r="BC56" s="138" t="str">
        <f t="shared" si="30"/>
        <v/>
      </c>
      <c r="BD56" s="138" t="str">
        <f t="shared" si="30"/>
        <v/>
      </c>
      <c r="BE56" s="138" t="str">
        <f t="shared" si="30"/>
        <v/>
      </c>
      <c r="BF56" s="138" t="str">
        <f t="shared" si="30"/>
        <v/>
      </c>
      <c r="BG56" s="138" t="str">
        <f t="shared" si="30"/>
        <v/>
      </c>
      <c r="BH56" s="138" t="str">
        <f t="shared" si="30"/>
        <v/>
      </c>
      <c r="BI56" s="138" t="str">
        <f t="shared" si="30"/>
        <v/>
      </c>
      <c r="BJ56" s="138" t="str">
        <f t="shared" si="30"/>
        <v/>
      </c>
      <c r="BK56" s="138" t="str">
        <f t="shared" si="30"/>
        <v/>
      </c>
      <c r="BL56" s="138" t="str">
        <f t="shared" si="30"/>
        <v/>
      </c>
      <c r="BM56" s="138" t="str">
        <f t="shared" si="30"/>
        <v/>
      </c>
      <c r="BN56" s="138" t="str">
        <f t="shared" si="30"/>
        <v/>
      </c>
      <c r="BO56" s="138" t="str">
        <f t="shared" si="30"/>
        <v/>
      </c>
      <c r="BP56" s="138" t="str">
        <f t="shared" si="30"/>
        <v/>
      </c>
      <c r="BQ56" s="138" t="str">
        <f t="shared" si="30"/>
        <v/>
      </c>
      <c r="BR56" s="138" t="str">
        <f t="shared" si="30"/>
        <v/>
      </c>
      <c r="BS56" s="138" t="str">
        <f t="shared" si="30"/>
        <v/>
      </c>
      <c r="BT56" s="138" t="str">
        <f t="shared" ref="BT56:CX56" si="31">IF(OR(BT39&gt;$D$17,BT39=""),"",$D$56*(BT46+BT47))</f>
        <v/>
      </c>
      <c r="BU56" s="138" t="str">
        <f t="shared" si="31"/>
        <v/>
      </c>
      <c r="BV56" s="138" t="str">
        <f t="shared" si="31"/>
        <v/>
      </c>
      <c r="BW56" s="138" t="str">
        <f t="shared" si="31"/>
        <v/>
      </c>
      <c r="BX56" s="138" t="str">
        <f t="shared" si="31"/>
        <v/>
      </c>
      <c r="BY56" s="138" t="str">
        <f t="shared" si="31"/>
        <v/>
      </c>
      <c r="BZ56" s="138" t="str">
        <f t="shared" si="31"/>
        <v/>
      </c>
      <c r="CA56" s="138" t="str">
        <f t="shared" si="31"/>
        <v/>
      </c>
      <c r="CB56" s="138" t="str">
        <f t="shared" si="31"/>
        <v/>
      </c>
      <c r="CC56" s="138" t="str">
        <f t="shared" si="31"/>
        <v/>
      </c>
      <c r="CD56" s="138" t="str">
        <f t="shared" si="31"/>
        <v/>
      </c>
      <c r="CE56" s="138" t="str">
        <f t="shared" si="31"/>
        <v/>
      </c>
      <c r="CF56" s="138" t="str">
        <f t="shared" si="31"/>
        <v/>
      </c>
      <c r="CG56" s="138" t="str">
        <f t="shared" si="31"/>
        <v/>
      </c>
      <c r="CH56" s="138" t="str">
        <f t="shared" si="31"/>
        <v/>
      </c>
      <c r="CI56" s="138" t="str">
        <f t="shared" si="31"/>
        <v/>
      </c>
      <c r="CJ56" s="138" t="str">
        <f t="shared" si="31"/>
        <v/>
      </c>
      <c r="CK56" s="138" t="str">
        <f t="shared" si="31"/>
        <v/>
      </c>
      <c r="CL56" s="138" t="str">
        <f t="shared" si="31"/>
        <v/>
      </c>
      <c r="CM56" s="138" t="str">
        <f t="shared" si="31"/>
        <v/>
      </c>
      <c r="CN56" s="138" t="str">
        <f t="shared" si="31"/>
        <v/>
      </c>
      <c r="CO56" s="138" t="str">
        <f t="shared" si="31"/>
        <v/>
      </c>
      <c r="CP56" s="138" t="str">
        <f t="shared" si="31"/>
        <v/>
      </c>
      <c r="CQ56" s="138" t="str">
        <f t="shared" si="31"/>
        <v/>
      </c>
      <c r="CR56" s="138" t="str">
        <f t="shared" si="31"/>
        <v/>
      </c>
      <c r="CS56" s="138" t="str">
        <f t="shared" si="31"/>
        <v/>
      </c>
      <c r="CT56" s="138" t="str">
        <f t="shared" si="31"/>
        <v/>
      </c>
      <c r="CU56" s="138" t="str">
        <f t="shared" si="31"/>
        <v/>
      </c>
      <c r="CV56" s="138" t="str">
        <f t="shared" si="31"/>
        <v/>
      </c>
      <c r="CW56" s="138" t="str">
        <f t="shared" si="31"/>
        <v/>
      </c>
      <c r="CX56" s="139" t="str">
        <f t="shared" si="31"/>
        <v/>
      </c>
    </row>
    <row r="57" spans="2:102">
      <c r="B57" s="95"/>
      <c r="C57" s="66" t="s">
        <v>72</v>
      </c>
      <c r="D57" s="66"/>
      <c r="E57" s="62">
        <f>NPV($D$34,G57:CX57)</f>
        <v>-65.653574791682146</v>
      </c>
      <c r="F57" s="143">
        <f>IF(OR(F39&gt;$D$17,F39=""),"",SUM(F54:F56))</f>
        <v>-0.29583333333333334</v>
      </c>
      <c r="G57" s="143">
        <f>IF(OR(G39&gt;$D$17,G39=""),"",SUM(G54:G56))</f>
        <v>-3.4060933129923501</v>
      </c>
      <c r="H57" s="143">
        <f t="shared" ref="H57:BS57" si="32">IF(OR(H39&gt;$D$17,H39=""),"",SUM(H54:H56))</f>
        <v>-3.5841674158893917</v>
      </c>
      <c r="I57" s="143">
        <f t="shared" si="32"/>
        <v>-3.5084649443944067</v>
      </c>
      <c r="J57" s="143">
        <f t="shared" si="32"/>
        <v>-3.3446663009809394</v>
      </c>
      <c r="K57" s="143">
        <f t="shared" si="32"/>
        <v>-3.2033707876246824</v>
      </c>
      <c r="L57" s="143">
        <f t="shared" si="32"/>
        <v>-3.1548348054456654</v>
      </c>
      <c r="M57" s="143">
        <f t="shared" si="32"/>
        <v>-3.0520419259165696</v>
      </c>
      <c r="N57" s="143">
        <f t="shared" si="32"/>
        <v>-2.9935910283996674</v>
      </c>
      <c r="O57" s="143">
        <f t="shared" si="32"/>
        <v>-2.9596296499706285</v>
      </c>
      <c r="P57" s="143">
        <f t="shared" si="32"/>
        <v>-2.854050400139605</v>
      </c>
      <c r="Q57" s="143">
        <f t="shared" si="32"/>
        <v>-2.7519852820449384</v>
      </c>
      <c r="R57" s="143">
        <f t="shared" si="32"/>
        <v>-2.7093760738042167</v>
      </c>
      <c r="S57" s="143">
        <f t="shared" si="32"/>
        <v>-2.6094009851023281</v>
      </c>
      <c r="T57" s="143">
        <f t="shared" si="32"/>
        <v>-2.5026585972520983</v>
      </c>
      <c r="U57" s="143">
        <f t="shared" si="32"/>
        <v>-2.4070860677771835</v>
      </c>
      <c r="V57" s="143">
        <f t="shared" si="32"/>
        <v>-2.3507389169344499</v>
      </c>
      <c r="W57" s="143">
        <f t="shared" si="32"/>
        <v>-2.2821402130568913</v>
      </c>
      <c r="X57" s="143">
        <f t="shared" si="32"/>
        <v>-2.1845768405632868</v>
      </c>
      <c r="Y57" s="143">
        <f t="shared" si="32"/>
        <v>-2.0727889851639092</v>
      </c>
      <c r="Z57" s="143">
        <f t="shared" si="32"/>
        <v>-1.9697904363226053</v>
      </c>
      <c r="AA57" s="143">
        <f t="shared" si="32"/>
        <v>-1.9047062972829973</v>
      </c>
      <c r="AB57" s="143">
        <f t="shared" si="32"/>
        <v>-1.8045563497734607</v>
      </c>
      <c r="AC57" s="143">
        <f t="shared" si="32"/>
        <v>-1.6990103479202119</v>
      </c>
      <c r="AD57" s="143">
        <f t="shared" si="32"/>
        <v>-1.5966884182755754</v>
      </c>
      <c r="AE57" s="143">
        <f t="shared" si="32"/>
        <v>-1.4923997381032506</v>
      </c>
      <c r="AF57" s="143">
        <f t="shared" si="32"/>
        <v>-1.4215082517453812</v>
      </c>
      <c r="AG57" s="143">
        <f t="shared" si="32"/>
        <v>-1.3401153989483552</v>
      </c>
      <c r="AH57" s="143">
        <f t="shared" si="32"/>
        <v>-1.2383018606684442</v>
      </c>
      <c r="AI57" s="143">
        <f t="shared" si="32"/>
        <v>-1.135233802157481</v>
      </c>
      <c r="AJ57" s="143">
        <f t="shared" si="32"/>
        <v>-1.0340601114985342</v>
      </c>
      <c r="AK57" s="143">
        <f t="shared" si="32"/>
        <v>-0.9334897057961008</v>
      </c>
      <c r="AL57" s="143">
        <f t="shared" si="32"/>
        <v>-0.83471842033324384</v>
      </c>
      <c r="AM57" s="143">
        <f t="shared" si="32"/>
        <v>-0.7366770647251748</v>
      </c>
      <c r="AN57" s="143">
        <f t="shared" si="32"/>
        <v>-0.6551698226906717</v>
      </c>
      <c r="AO57" s="143">
        <f t="shared" si="32"/>
        <v>-0.55844687553145189</v>
      </c>
      <c r="AP57" s="143">
        <f t="shared" si="32"/>
        <v>-0.46232975833744694</v>
      </c>
      <c r="AQ57" s="143">
        <f t="shared" si="32"/>
        <v>-0.36719031733227303</v>
      </c>
      <c r="AR57" s="143">
        <f t="shared" si="32"/>
        <v>-0.27903323170080507</v>
      </c>
      <c r="AS57" s="143">
        <f t="shared" si="32"/>
        <v>-0.18468147037167643</v>
      </c>
      <c r="AT57" s="143">
        <f t="shared" si="32"/>
        <v>-9.1868585700843983E-2</v>
      </c>
      <c r="AU57" s="143" t="str">
        <f t="shared" si="32"/>
        <v/>
      </c>
      <c r="AV57" s="143" t="str">
        <f t="shared" si="32"/>
        <v/>
      </c>
      <c r="AW57" s="143" t="str">
        <f t="shared" si="32"/>
        <v/>
      </c>
      <c r="AX57" s="143" t="str">
        <f t="shared" si="32"/>
        <v/>
      </c>
      <c r="AY57" s="143" t="str">
        <f t="shared" si="32"/>
        <v/>
      </c>
      <c r="AZ57" s="143" t="str">
        <f t="shared" si="32"/>
        <v/>
      </c>
      <c r="BA57" s="143" t="str">
        <f t="shared" si="32"/>
        <v/>
      </c>
      <c r="BB57" s="143" t="str">
        <f t="shared" si="32"/>
        <v/>
      </c>
      <c r="BC57" s="143" t="str">
        <f t="shared" si="32"/>
        <v/>
      </c>
      <c r="BD57" s="143" t="str">
        <f t="shared" si="32"/>
        <v/>
      </c>
      <c r="BE57" s="143" t="str">
        <f t="shared" si="32"/>
        <v/>
      </c>
      <c r="BF57" s="143" t="str">
        <f t="shared" si="32"/>
        <v/>
      </c>
      <c r="BG57" s="143" t="str">
        <f t="shared" si="32"/>
        <v/>
      </c>
      <c r="BH57" s="143" t="str">
        <f t="shared" si="32"/>
        <v/>
      </c>
      <c r="BI57" s="143" t="str">
        <f t="shared" si="32"/>
        <v/>
      </c>
      <c r="BJ57" s="143" t="str">
        <f t="shared" si="32"/>
        <v/>
      </c>
      <c r="BK57" s="143" t="str">
        <f t="shared" si="32"/>
        <v/>
      </c>
      <c r="BL57" s="143" t="str">
        <f t="shared" si="32"/>
        <v/>
      </c>
      <c r="BM57" s="143" t="str">
        <f t="shared" si="32"/>
        <v/>
      </c>
      <c r="BN57" s="143" t="str">
        <f t="shared" si="32"/>
        <v/>
      </c>
      <c r="BO57" s="143" t="str">
        <f t="shared" si="32"/>
        <v/>
      </c>
      <c r="BP57" s="143" t="str">
        <f t="shared" si="32"/>
        <v/>
      </c>
      <c r="BQ57" s="143" t="str">
        <f t="shared" si="32"/>
        <v/>
      </c>
      <c r="BR57" s="143" t="str">
        <f t="shared" si="32"/>
        <v/>
      </c>
      <c r="BS57" s="143" t="str">
        <f t="shared" si="32"/>
        <v/>
      </c>
      <c r="BT57" s="143" t="str">
        <f t="shared" ref="BT57:CX57" si="33">IF(OR(BT39&gt;$D$17,BT39=""),"",SUM(BT54:BT56))</f>
        <v/>
      </c>
      <c r="BU57" s="143" t="str">
        <f t="shared" si="33"/>
        <v/>
      </c>
      <c r="BV57" s="143" t="str">
        <f t="shared" si="33"/>
        <v/>
      </c>
      <c r="BW57" s="143" t="str">
        <f t="shared" si="33"/>
        <v/>
      </c>
      <c r="BX57" s="143" t="str">
        <f t="shared" si="33"/>
        <v/>
      </c>
      <c r="BY57" s="143" t="str">
        <f t="shared" si="33"/>
        <v/>
      </c>
      <c r="BZ57" s="143" t="str">
        <f t="shared" si="33"/>
        <v/>
      </c>
      <c r="CA57" s="143" t="str">
        <f t="shared" si="33"/>
        <v/>
      </c>
      <c r="CB57" s="143" t="str">
        <f t="shared" si="33"/>
        <v/>
      </c>
      <c r="CC57" s="143" t="str">
        <f t="shared" si="33"/>
        <v/>
      </c>
      <c r="CD57" s="143" t="str">
        <f t="shared" si="33"/>
        <v/>
      </c>
      <c r="CE57" s="143" t="str">
        <f t="shared" si="33"/>
        <v/>
      </c>
      <c r="CF57" s="143" t="str">
        <f t="shared" si="33"/>
        <v/>
      </c>
      <c r="CG57" s="143" t="str">
        <f t="shared" si="33"/>
        <v/>
      </c>
      <c r="CH57" s="143" t="str">
        <f t="shared" si="33"/>
        <v/>
      </c>
      <c r="CI57" s="143" t="str">
        <f t="shared" si="33"/>
        <v/>
      </c>
      <c r="CJ57" s="143" t="str">
        <f t="shared" si="33"/>
        <v/>
      </c>
      <c r="CK57" s="143" t="str">
        <f t="shared" si="33"/>
        <v/>
      </c>
      <c r="CL57" s="143" t="str">
        <f t="shared" si="33"/>
        <v/>
      </c>
      <c r="CM57" s="143" t="str">
        <f t="shared" si="33"/>
        <v/>
      </c>
      <c r="CN57" s="143" t="str">
        <f t="shared" si="33"/>
        <v/>
      </c>
      <c r="CO57" s="143" t="str">
        <f t="shared" si="33"/>
        <v/>
      </c>
      <c r="CP57" s="143" t="str">
        <f t="shared" si="33"/>
        <v/>
      </c>
      <c r="CQ57" s="143" t="str">
        <f t="shared" si="33"/>
        <v/>
      </c>
      <c r="CR57" s="143" t="str">
        <f t="shared" si="33"/>
        <v/>
      </c>
      <c r="CS57" s="143" t="str">
        <f t="shared" si="33"/>
        <v/>
      </c>
      <c r="CT57" s="143" t="str">
        <f t="shared" si="33"/>
        <v/>
      </c>
      <c r="CU57" s="143" t="str">
        <f t="shared" si="33"/>
        <v/>
      </c>
      <c r="CV57" s="143" t="str">
        <f t="shared" si="33"/>
        <v/>
      </c>
      <c r="CW57" s="143" t="str">
        <f t="shared" si="33"/>
        <v/>
      </c>
      <c r="CX57" s="144" t="str">
        <f t="shared" si="33"/>
        <v/>
      </c>
    </row>
    <row r="58" spans="2:102">
      <c r="B58" s="150" t="s">
        <v>73</v>
      </c>
      <c r="C58" s="123" t="s">
        <v>74</v>
      </c>
      <c r="D58" s="123"/>
      <c r="E58" s="115">
        <f>NPV($D$34,G58:CX58)+F58</f>
        <v>-5.9094047750475518</v>
      </c>
      <c r="F58" s="151">
        <f>F49+F56</f>
        <v>-35.795833333333334</v>
      </c>
      <c r="G58" s="152">
        <f>IF(OR(G39&gt;$D$17,G39=""),"",G44+G45+G49+G57)</f>
        <v>1.835031687007652</v>
      </c>
      <c r="H58" s="152">
        <f t="shared" ref="H58:BS58" si="34">IF(OR(H39&gt;$D$17,H39=""),"",H44+H45+H49+H57)</f>
        <v>1.5354880237457693</v>
      </c>
      <c r="I58" s="152">
        <f t="shared" si="34"/>
        <v>1.4892542893148577</v>
      </c>
      <c r="J58" s="152">
        <f t="shared" si="34"/>
        <v>1.5306482885446546</v>
      </c>
      <c r="K58" s="152">
        <f t="shared" si="34"/>
        <v>1.5490689198758405</v>
      </c>
      <c r="L58" s="152">
        <f>IF(OR(L39&gt;$D$17,L39=""),"",L44+L45+L49+L57)</f>
        <v>1.4742579756913377</v>
      </c>
      <c r="M58" s="152">
        <f t="shared" si="34"/>
        <v>1.4532300710814652</v>
      </c>
      <c r="N58" s="152">
        <f t="shared" si="34"/>
        <v>1.387384506280338</v>
      </c>
      <c r="O58" s="152">
        <f t="shared" si="34"/>
        <v>1.2965719168152696</v>
      </c>
      <c r="P58" s="152">
        <f t="shared" si="34"/>
        <v>1.2768978587588604</v>
      </c>
      <c r="Q58" s="152">
        <f t="shared" si="34"/>
        <v>1.2532284875082955</v>
      </c>
      <c r="R58" s="152">
        <f t="shared" si="34"/>
        <v>1.1696201764072152</v>
      </c>
      <c r="S58" s="152">
        <f t="shared" si="34"/>
        <v>1.1428928601304986</v>
      </c>
      <c r="T58" s="152">
        <f t="shared" si="34"/>
        <v>1.1224460945963273</v>
      </c>
      <c r="U58" s="152">
        <f t="shared" si="34"/>
        <v>1.0903408523559266</v>
      </c>
      <c r="V58" s="152">
        <f t="shared" si="34"/>
        <v>1.0185197360436726</v>
      </c>
      <c r="W58" s="152">
        <f t="shared" si="34"/>
        <v>0.95845779300658718</v>
      </c>
      <c r="X58" s="152">
        <f t="shared" si="34"/>
        <v>0.92686624726698463</v>
      </c>
      <c r="Y58" s="152">
        <f t="shared" si="34"/>
        <v>0.90900301428894137</v>
      </c>
      <c r="Z58" s="152">
        <f t="shared" si="34"/>
        <v>0.88185239848831065</v>
      </c>
      <c r="AA58" s="152">
        <f t="shared" si="34"/>
        <v>0.81628738317848137</v>
      </c>
      <c r="AB58" s="152">
        <f t="shared" si="34"/>
        <v>0.78528626583729011</v>
      </c>
      <c r="AC58" s="152">
        <f t="shared" si="34"/>
        <v>0.75917736416567583</v>
      </c>
      <c r="AD58" s="152">
        <f t="shared" si="34"/>
        <v>0.72933861603107353</v>
      </c>
      <c r="AE58" s="152">
        <f t="shared" si="34"/>
        <v>0.70095890115369497</v>
      </c>
      <c r="AF58" s="152">
        <f t="shared" si="34"/>
        <v>0.63867232471087343</v>
      </c>
      <c r="AG58" s="152">
        <f t="shared" si="34"/>
        <v>0.58637548898261782</v>
      </c>
      <c r="AH58" s="152">
        <f t="shared" si="34"/>
        <v>0.55398574751716323</v>
      </c>
      <c r="AI58" s="152">
        <f t="shared" si="34"/>
        <v>0.52233496201640284</v>
      </c>
      <c r="AJ58" s="152">
        <f t="shared" si="34"/>
        <v>0.48827226377121735</v>
      </c>
      <c r="AK58" s="152">
        <f t="shared" si="34"/>
        <v>0.45308674744214417</v>
      </c>
      <c r="AL58" s="152">
        <f t="shared" si="34"/>
        <v>0.41558058187302427</v>
      </c>
      <c r="AM58" s="152">
        <f t="shared" si="34"/>
        <v>0.37682095390806714</v>
      </c>
      <c r="AN58" s="152">
        <f t="shared" si="34"/>
        <v>0.32100166859098511</v>
      </c>
      <c r="AO58" s="152">
        <f t="shared" si="34"/>
        <v>0.27987052565604442</v>
      </c>
      <c r="AP58" s="152">
        <f t="shared" si="34"/>
        <v>0.23760396329311018</v>
      </c>
      <c r="AQ58" s="152">
        <f t="shared" si="34"/>
        <v>0.19382810077238</v>
      </c>
      <c r="AR58" s="152">
        <f t="shared" si="34"/>
        <v>0.14253621658689902</v>
      </c>
      <c r="AS58" s="152">
        <f t="shared" si="34"/>
        <v>9.6903291640031586E-2</v>
      </c>
      <c r="AT58" s="152">
        <f t="shared" si="34"/>
        <v>4.9193715531758039E-2</v>
      </c>
      <c r="AU58" s="152" t="str">
        <f t="shared" si="34"/>
        <v/>
      </c>
      <c r="AV58" s="152" t="str">
        <f t="shared" si="34"/>
        <v/>
      </c>
      <c r="AW58" s="152" t="str">
        <f t="shared" si="34"/>
        <v/>
      </c>
      <c r="AX58" s="152" t="str">
        <f t="shared" si="34"/>
        <v/>
      </c>
      <c r="AY58" s="152" t="str">
        <f t="shared" si="34"/>
        <v/>
      </c>
      <c r="AZ58" s="152" t="str">
        <f t="shared" si="34"/>
        <v/>
      </c>
      <c r="BA58" s="152" t="str">
        <f t="shared" si="34"/>
        <v/>
      </c>
      <c r="BB58" s="152" t="str">
        <f t="shared" si="34"/>
        <v/>
      </c>
      <c r="BC58" s="152" t="str">
        <f t="shared" si="34"/>
        <v/>
      </c>
      <c r="BD58" s="152" t="str">
        <f t="shared" si="34"/>
        <v/>
      </c>
      <c r="BE58" s="152" t="str">
        <f t="shared" si="34"/>
        <v/>
      </c>
      <c r="BF58" s="152" t="str">
        <f t="shared" si="34"/>
        <v/>
      </c>
      <c r="BG58" s="152" t="str">
        <f t="shared" si="34"/>
        <v/>
      </c>
      <c r="BH58" s="152" t="str">
        <f t="shared" si="34"/>
        <v/>
      </c>
      <c r="BI58" s="152" t="str">
        <f t="shared" si="34"/>
        <v/>
      </c>
      <c r="BJ58" s="152" t="str">
        <f t="shared" si="34"/>
        <v/>
      </c>
      <c r="BK58" s="152" t="str">
        <f t="shared" si="34"/>
        <v/>
      </c>
      <c r="BL58" s="152" t="str">
        <f t="shared" si="34"/>
        <v/>
      </c>
      <c r="BM58" s="152" t="str">
        <f t="shared" si="34"/>
        <v/>
      </c>
      <c r="BN58" s="152" t="str">
        <f t="shared" si="34"/>
        <v/>
      </c>
      <c r="BO58" s="152" t="str">
        <f t="shared" si="34"/>
        <v/>
      </c>
      <c r="BP58" s="152" t="str">
        <f t="shared" si="34"/>
        <v/>
      </c>
      <c r="BQ58" s="152" t="str">
        <f t="shared" si="34"/>
        <v/>
      </c>
      <c r="BR58" s="152" t="str">
        <f t="shared" si="34"/>
        <v/>
      </c>
      <c r="BS58" s="152" t="str">
        <f t="shared" si="34"/>
        <v/>
      </c>
      <c r="BT58" s="152" t="str">
        <f t="shared" ref="BT58:CX58" si="35">IF(OR(BT39&gt;$D$17,BT39=""),"",BT44+BT45+BT49+BT57)</f>
        <v/>
      </c>
      <c r="BU58" s="152" t="str">
        <f t="shared" si="35"/>
        <v/>
      </c>
      <c r="BV58" s="152" t="str">
        <f t="shared" si="35"/>
        <v/>
      </c>
      <c r="BW58" s="152" t="str">
        <f t="shared" si="35"/>
        <v/>
      </c>
      <c r="BX58" s="152" t="str">
        <f t="shared" si="35"/>
        <v/>
      </c>
      <c r="BY58" s="152" t="str">
        <f t="shared" si="35"/>
        <v/>
      </c>
      <c r="BZ58" s="152" t="str">
        <f t="shared" si="35"/>
        <v/>
      </c>
      <c r="CA58" s="152" t="str">
        <f t="shared" si="35"/>
        <v/>
      </c>
      <c r="CB58" s="152" t="str">
        <f t="shared" si="35"/>
        <v/>
      </c>
      <c r="CC58" s="152" t="str">
        <f t="shared" si="35"/>
        <v/>
      </c>
      <c r="CD58" s="152" t="str">
        <f t="shared" si="35"/>
        <v/>
      </c>
      <c r="CE58" s="152" t="str">
        <f t="shared" si="35"/>
        <v/>
      </c>
      <c r="CF58" s="152" t="str">
        <f t="shared" si="35"/>
        <v/>
      </c>
      <c r="CG58" s="152" t="str">
        <f t="shared" si="35"/>
        <v/>
      </c>
      <c r="CH58" s="152" t="str">
        <f t="shared" si="35"/>
        <v/>
      </c>
      <c r="CI58" s="152" t="str">
        <f t="shared" si="35"/>
        <v/>
      </c>
      <c r="CJ58" s="152" t="str">
        <f t="shared" si="35"/>
        <v/>
      </c>
      <c r="CK58" s="152" t="str">
        <f t="shared" si="35"/>
        <v/>
      </c>
      <c r="CL58" s="152" t="str">
        <f t="shared" si="35"/>
        <v/>
      </c>
      <c r="CM58" s="152" t="str">
        <f t="shared" si="35"/>
        <v/>
      </c>
      <c r="CN58" s="152" t="str">
        <f t="shared" si="35"/>
        <v/>
      </c>
      <c r="CO58" s="152" t="str">
        <f t="shared" si="35"/>
        <v/>
      </c>
      <c r="CP58" s="152" t="str">
        <f t="shared" si="35"/>
        <v/>
      </c>
      <c r="CQ58" s="152" t="str">
        <f t="shared" si="35"/>
        <v/>
      </c>
      <c r="CR58" s="152" t="str">
        <f t="shared" si="35"/>
        <v/>
      </c>
      <c r="CS58" s="152" t="str">
        <f t="shared" si="35"/>
        <v/>
      </c>
      <c r="CT58" s="152" t="str">
        <f t="shared" si="35"/>
        <v/>
      </c>
      <c r="CU58" s="152" t="str">
        <f t="shared" si="35"/>
        <v/>
      </c>
      <c r="CV58" s="152" t="str">
        <f t="shared" si="35"/>
        <v/>
      </c>
      <c r="CW58" s="152" t="str">
        <f t="shared" si="35"/>
        <v/>
      </c>
      <c r="CX58" s="153" t="str">
        <f t="shared" si="35"/>
        <v/>
      </c>
    </row>
    <row r="59" spans="2:102" ht="15">
      <c r="B59" s="154"/>
      <c r="C59" s="66" t="s">
        <v>75</v>
      </c>
      <c r="D59" s="155"/>
      <c r="E59" s="65">
        <f>NPV($D$34,G59:CX59)+F59</f>
        <v>-11.886690486704698</v>
      </c>
      <c r="F59" s="142">
        <f>F58</f>
        <v>-35.795833333333334</v>
      </c>
      <c r="G59" s="143">
        <f>IF(OR(G39&gt;$D$17,G39=""),"",IF(G58&lt;0,G58,G58*(1-$D$32)))</f>
        <v>1.4680253496061217</v>
      </c>
      <c r="H59" s="143">
        <f t="shared" ref="H59:BS59" si="36">IF(OR(H39&gt;$D$17,H39=""),"",IF(H58&lt;0,H58,H58*(1-$D$32)))</f>
        <v>1.2283904189966155</v>
      </c>
      <c r="I59" s="143">
        <f t="shared" si="36"/>
        <v>1.1914034314518862</v>
      </c>
      <c r="J59" s="143">
        <f t="shared" si="36"/>
        <v>1.2245186308357239</v>
      </c>
      <c r="K59" s="143">
        <f t="shared" si="36"/>
        <v>1.2392551359006725</v>
      </c>
      <c r="L59" s="143">
        <f t="shared" si="36"/>
        <v>1.1794063805530701</v>
      </c>
      <c r="M59" s="143">
        <f t="shared" si="36"/>
        <v>1.1625840568651722</v>
      </c>
      <c r="N59" s="143">
        <f t="shared" si="36"/>
        <v>1.1099076050242704</v>
      </c>
      <c r="O59" s="143">
        <f t="shared" si="36"/>
        <v>1.0372575334522158</v>
      </c>
      <c r="P59" s="143">
        <f t="shared" si="36"/>
        <v>1.0215182870070885</v>
      </c>
      <c r="Q59" s="143">
        <f t="shared" si="36"/>
        <v>1.0025827900066364</v>
      </c>
      <c r="R59" s="143">
        <f t="shared" si="36"/>
        <v>0.93569614112577215</v>
      </c>
      <c r="S59" s="143">
        <f t="shared" si="36"/>
        <v>0.91431428810439896</v>
      </c>
      <c r="T59" s="143">
        <f t="shared" si="36"/>
        <v>0.89795687567706184</v>
      </c>
      <c r="U59" s="143">
        <f t="shared" si="36"/>
        <v>0.87227268188474127</v>
      </c>
      <c r="V59" s="143">
        <f t="shared" si="36"/>
        <v>0.8148157888349381</v>
      </c>
      <c r="W59" s="143">
        <f t="shared" si="36"/>
        <v>0.76676623440526981</v>
      </c>
      <c r="X59" s="143">
        <f t="shared" si="36"/>
        <v>0.7414929978135878</v>
      </c>
      <c r="Y59" s="143">
        <f t="shared" si="36"/>
        <v>0.72720241143115316</v>
      </c>
      <c r="Z59" s="143">
        <f t="shared" si="36"/>
        <v>0.70548191879064859</v>
      </c>
      <c r="AA59" s="143">
        <f t="shared" si="36"/>
        <v>0.65302990654278514</v>
      </c>
      <c r="AB59" s="143">
        <f t="shared" si="36"/>
        <v>0.62822901266983211</v>
      </c>
      <c r="AC59" s="143">
        <f t="shared" si="36"/>
        <v>0.60734189133254068</v>
      </c>
      <c r="AD59" s="143">
        <f t="shared" si="36"/>
        <v>0.58347089282485887</v>
      </c>
      <c r="AE59" s="143">
        <f t="shared" si="36"/>
        <v>0.560767120922956</v>
      </c>
      <c r="AF59" s="143">
        <f t="shared" si="36"/>
        <v>0.51093785976869877</v>
      </c>
      <c r="AG59" s="143">
        <f t="shared" si="36"/>
        <v>0.46910039118609426</v>
      </c>
      <c r="AH59" s="143">
        <f t="shared" si="36"/>
        <v>0.44318859801373062</v>
      </c>
      <c r="AI59" s="143">
        <f t="shared" si="36"/>
        <v>0.41786796961312228</v>
      </c>
      <c r="AJ59" s="143">
        <f t="shared" si="36"/>
        <v>0.3906178110169739</v>
      </c>
      <c r="AK59" s="143">
        <f t="shared" si="36"/>
        <v>0.36246939795371536</v>
      </c>
      <c r="AL59" s="143">
        <f t="shared" si="36"/>
        <v>0.33246446549841946</v>
      </c>
      <c r="AM59" s="143">
        <f t="shared" si="36"/>
        <v>0.30145676312645375</v>
      </c>
      <c r="AN59" s="143">
        <f t="shared" si="36"/>
        <v>0.25680133487278811</v>
      </c>
      <c r="AO59" s="143">
        <f t="shared" si="36"/>
        <v>0.22389642052483555</v>
      </c>
      <c r="AP59" s="143">
        <f t="shared" si="36"/>
        <v>0.19008317063448815</v>
      </c>
      <c r="AQ59" s="143">
        <f t="shared" si="36"/>
        <v>0.15506248061790401</v>
      </c>
      <c r="AR59" s="143">
        <f t="shared" si="36"/>
        <v>0.11402897326951922</v>
      </c>
      <c r="AS59" s="143">
        <f t="shared" si="36"/>
        <v>7.7522633312025274E-2</v>
      </c>
      <c r="AT59" s="143">
        <f t="shared" si="36"/>
        <v>3.9354972425406434E-2</v>
      </c>
      <c r="AU59" s="143" t="str">
        <f t="shared" si="36"/>
        <v/>
      </c>
      <c r="AV59" s="143" t="str">
        <f t="shared" si="36"/>
        <v/>
      </c>
      <c r="AW59" s="143" t="str">
        <f t="shared" si="36"/>
        <v/>
      </c>
      <c r="AX59" s="143" t="str">
        <f t="shared" si="36"/>
        <v/>
      </c>
      <c r="AY59" s="143" t="str">
        <f t="shared" si="36"/>
        <v/>
      </c>
      <c r="AZ59" s="143" t="str">
        <f t="shared" si="36"/>
        <v/>
      </c>
      <c r="BA59" s="143" t="str">
        <f t="shared" si="36"/>
        <v/>
      </c>
      <c r="BB59" s="143" t="str">
        <f t="shared" si="36"/>
        <v/>
      </c>
      <c r="BC59" s="143" t="str">
        <f t="shared" si="36"/>
        <v/>
      </c>
      <c r="BD59" s="143" t="str">
        <f t="shared" si="36"/>
        <v/>
      </c>
      <c r="BE59" s="143" t="str">
        <f t="shared" si="36"/>
        <v/>
      </c>
      <c r="BF59" s="143" t="str">
        <f t="shared" si="36"/>
        <v/>
      </c>
      <c r="BG59" s="143" t="str">
        <f t="shared" si="36"/>
        <v/>
      </c>
      <c r="BH59" s="143" t="str">
        <f t="shared" si="36"/>
        <v/>
      </c>
      <c r="BI59" s="143" t="str">
        <f t="shared" si="36"/>
        <v/>
      </c>
      <c r="BJ59" s="143" t="str">
        <f t="shared" si="36"/>
        <v/>
      </c>
      <c r="BK59" s="143" t="str">
        <f t="shared" si="36"/>
        <v/>
      </c>
      <c r="BL59" s="143" t="str">
        <f t="shared" si="36"/>
        <v/>
      </c>
      <c r="BM59" s="143" t="str">
        <f t="shared" si="36"/>
        <v/>
      </c>
      <c r="BN59" s="143" t="str">
        <f t="shared" si="36"/>
        <v/>
      </c>
      <c r="BO59" s="143" t="str">
        <f t="shared" si="36"/>
        <v/>
      </c>
      <c r="BP59" s="143" t="str">
        <f t="shared" si="36"/>
        <v/>
      </c>
      <c r="BQ59" s="143" t="str">
        <f t="shared" si="36"/>
        <v/>
      </c>
      <c r="BR59" s="143" t="str">
        <f t="shared" si="36"/>
        <v/>
      </c>
      <c r="BS59" s="143" t="str">
        <f t="shared" si="36"/>
        <v/>
      </c>
      <c r="BT59" s="143" t="str">
        <f t="shared" ref="BT59:CX59" si="37">IF(OR(BT39&gt;$D$17,BT39=""),"",IF(BT58&lt;0,BT58,BT58*(1-$D$32)))</f>
        <v/>
      </c>
      <c r="BU59" s="143" t="str">
        <f t="shared" si="37"/>
        <v/>
      </c>
      <c r="BV59" s="143" t="str">
        <f t="shared" si="37"/>
        <v/>
      </c>
      <c r="BW59" s="143" t="str">
        <f t="shared" si="37"/>
        <v/>
      </c>
      <c r="BX59" s="143" t="str">
        <f t="shared" si="37"/>
        <v/>
      </c>
      <c r="BY59" s="143" t="str">
        <f t="shared" si="37"/>
        <v/>
      </c>
      <c r="BZ59" s="143" t="str">
        <f t="shared" si="37"/>
        <v/>
      </c>
      <c r="CA59" s="143" t="str">
        <f t="shared" si="37"/>
        <v/>
      </c>
      <c r="CB59" s="143" t="str">
        <f t="shared" si="37"/>
        <v/>
      </c>
      <c r="CC59" s="143" t="str">
        <f t="shared" si="37"/>
        <v/>
      </c>
      <c r="CD59" s="143" t="str">
        <f t="shared" si="37"/>
        <v/>
      </c>
      <c r="CE59" s="143" t="str">
        <f t="shared" si="37"/>
        <v/>
      </c>
      <c r="CF59" s="143" t="str">
        <f t="shared" si="37"/>
        <v/>
      </c>
      <c r="CG59" s="143" t="str">
        <f t="shared" si="37"/>
        <v/>
      </c>
      <c r="CH59" s="143" t="str">
        <f t="shared" si="37"/>
        <v/>
      </c>
      <c r="CI59" s="143" t="str">
        <f t="shared" si="37"/>
        <v/>
      </c>
      <c r="CJ59" s="143" t="str">
        <f t="shared" si="37"/>
        <v/>
      </c>
      <c r="CK59" s="143" t="str">
        <f t="shared" si="37"/>
        <v/>
      </c>
      <c r="CL59" s="143" t="str">
        <f t="shared" si="37"/>
        <v/>
      </c>
      <c r="CM59" s="143" t="str">
        <f t="shared" si="37"/>
        <v/>
      </c>
      <c r="CN59" s="143" t="str">
        <f t="shared" si="37"/>
        <v/>
      </c>
      <c r="CO59" s="143" t="str">
        <f t="shared" si="37"/>
        <v/>
      </c>
      <c r="CP59" s="143" t="str">
        <f t="shared" si="37"/>
        <v/>
      </c>
      <c r="CQ59" s="143" t="str">
        <f t="shared" si="37"/>
        <v/>
      </c>
      <c r="CR59" s="143" t="str">
        <f t="shared" si="37"/>
        <v/>
      </c>
      <c r="CS59" s="143" t="str">
        <f t="shared" si="37"/>
        <v/>
      </c>
      <c r="CT59" s="143" t="str">
        <f t="shared" si="37"/>
        <v/>
      </c>
      <c r="CU59" s="143" t="str">
        <f t="shared" si="37"/>
        <v/>
      </c>
      <c r="CV59" s="143" t="str">
        <f t="shared" si="37"/>
        <v/>
      </c>
      <c r="CW59" s="143" t="str">
        <f t="shared" si="37"/>
        <v/>
      </c>
      <c r="CX59" s="144" t="str">
        <f t="shared" si="37"/>
        <v/>
      </c>
    </row>
    <row r="60" spans="2:102" ht="15">
      <c r="B60" s="82"/>
      <c r="C60" s="66" t="s">
        <v>76</v>
      </c>
      <c r="D60" s="66"/>
      <c r="E60" s="64">
        <f>NPV($D$34,G60:CX60)+F60</f>
        <v>4038.6908398824062</v>
      </c>
      <c r="F60" s="142">
        <f>F59</f>
        <v>-35.795833333333334</v>
      </c>
      <c r="G60" s="143">
        <f>IF(OR(G39&gt;$D$17,G39=""),"",G59+G41)</f>
        <v>117.34921532774486</v>
      </c>
      <c r="H60" s="143">
        <f t="shared" ref="H60:BS60" si="38">IF(OR(H39&gt;$D$17,H39=""),"",H59+H41)</f>
        <v>117.55475730196802</v>
      </c>
      <c r="I60" s="143">
        <f t="shared" si="38"/>
        <v>117.96465744053206</v>
      </c>
      <c r="J60" s="143">
        <f t="shared" si="38"/>
        <v>118.44637655740077</v>
      </c>
      <c r="K60" s="143">
        <f t="shared" si="38"/>
        <v>118.91144036666695</v>
      </c>
      <c r="L60" s="143">
        <f>IF(OR(L39&gt;$D$17,L39=""),"",L59+L41)</f>
        <v>119.30364892291422</v>
      </c>
      <c r="M60" s="143">
        <f>IF(OR(M39&gt;$D$17,M39=""),"",M59+M41)</f>
        <v>119.74062056432655</v>
      </c>
      <c r="N60" s="143">
        <f>IF(OR(N39&gt;$D$17,N39=""),"",N59+N41)</f>
        <v>120.14348140273515</v>
      </c>
      <c r="O60" s="143">
        <f>IF(OR(O39&gt;$D$17,O39=""),"",O59+O41)</f>
        <v>120.52811864383595</v>
      </c>
      <c r="P60" s="143">
        <f t="shared" si="38"/>
        <v>120.97142345548987</v>
      </c>
      <c r="Q60" s="143">
        <f t="shared" si="38"/>
        <v>121.41329551084502</v>
      </c>
      <c r="R60" s="143">
        <f t="shared" si="38"/>
        <v>121.80898668333339</v>
      </c>
      <c r="S60" s="143">
        <f t="shared" si="38"/>
        <v>122.25195972147833</v>
      </c>
      <c r="T60" s="143">
        <f t="shared" si="38"/>
        <v>122.70174109692421</v>
      </c>
      <c r="U60" s="143">
        <f t="shared" si="38"/>
        <v>123.14398644084849</v>
      </c>
      <c r="V60" s="143">
        <f t="shared" si="38"/>
        <v>123.55625671482271</v>
      </c>
      <c r="W60" s="143">
        <f t="shared" si="38"/>
        <v>123.97973886261705</v>
      </c>
      <c r="X60" s="143">
        <f t="shared" si="38"/>
        <v>124.4278087958721</v>
      </c>
      <c r="Y60" s="143">
        <f t="shared" si="38"/>
        <v>124.88867980601385</v>
      </c>
      <c r="Z60" s="143">
        <f t="shared" si="38"/>
        <v>125.34394632236422</v>
      </c>
      <c r="AA60" s="143">
        <f t="shared" si="38"/>
        <v>125.77031374420007</v>
      </c>
      <c r="AB60" s="143">
        <f t="shared" si="38"/>
        <v>126.22617174907012</v>
      </c>
      <c r="AC60" s="143">
        <f t="shared" si="38"/>
        <v>126.68779005774518</v>
      </c>
      <c r="AD60" s="143">
        <f t="shared" si="38"/>
        <v>127.14827811427679</v>
      </c>
      <c r="AE60" s="143">
        <f t="shared" si="38"/>
        <v>127.61179414345064</v>
      </c>
      <c r="AF60" s="143">
        <f t="shared" si="38"/>
        <v>128.05005257777458</v>
      </c>
      <c r="AG60" s="143">
        <f t="shared" si="38"/>
        <v>128.49817787490031</v>
      </c>
      <c r="AH60" s="143">
        <f t="shared" si="38"/>
        <v>128.96411112106122</v>
      </c>
      <c r="AI60" s="143">
        <f t="shared" si="38"/>
        <v>129.43252503668666</v>
      </c>
      <c r="AJ60" s="143">
        <f t="shared" si="38"/>
        <v>129.90090618565648</v>
      </c>
      <c r="AK60" s="143">
        <f t="shared" si="38"/>
        <v>130.37029313043249</v>
      </c>
      <c r="AL60" s="143">
        <f t="shared" si="38"/>
        <v>130.83973492081614</v>
      </c>
      <c r="AM60" s="143">
        <f t="shared" si="38"/>
        <v>131.31009264911</v>
      </c>
      <c r="AN60" s="143">
        <f t="shared" si="38"/>
        <v>131.76872873038502</v>
      </c>
      <c r="AO60" s="143">
        <f t="shared" si="38"/>
        <v>132.24104880378147</v>
      </c>
      <c r="AP60" s="143">
        <f t="shared" si="38"/>
        <v>132.71440144763014</v>
      </c>
      <c r="AQ60" s="143">
        <f t="shared" si="38"/>
        <v>133.188495013661</v>
      </c>
      <c r="AR60" s="143">
        <f t="shared" si="38"/>
        <v>133.65853160962706</v>
      </c>
      <c r="AS60" s="143">
        <f t="shared" si="38"/>
        <v>134.13505873396426</v>
      </c>
      <c r="AT60" s="143">
        <f t="shared" si="38"/>
        <v>134.61189544093097</v>
      </c>
      <c r="AU60" s="143" t="str">
        <f t="shared" si="38"/>
        <v/>
      </c>
      <c r="AV60" s="143" t="str">
        <f t="shared" si="38"/>
        <v/>
      </c>
      <c r="AW60" s="143" t="str">
        <f t="shared" si="38"/>
        <v/>
      </c>
      <c r="AX60" s="143" t="str">
        <f t="shared" si="38"/>
        <v/>
      </c>
      <c r="AY60" s="143" t="str">
        <f t="shared" si="38"/>
        <v/>
      </c>
      <c r="AZ60" s="143" t="str">
        <f t="shared" si="38"/>
        <v/>
      </c>
      <c r="BA60" s="143" t="str">
        <f t="shared" si="38"/>
        <v/>
      </c>
      <c r="BB60" s="143" t="str">
        <f t="shared" si="38"/>
        <v/>
      </c>
      <c r="BC60" s="143" t="str">
        <f t="shared" si="38"/>
        <v/>
      </c>
      <c r="BD60" s="143" t="str">
        <f t="shared" si="38"/>
        <v/>
      </c>
      <c r="BE60" s="143" t="str">
        <f t="shared" si="38"/>
        <v/>
      </c>
      <c r="BF60" s="143" t="str">
        <f t="shared" si="38"/>
        <v/>
      </c>
      <c r="BG60" s="143" t="str">
        <f t="shared" si="38"/>
        <v/>
      </c>
      <c r="BH60" s="143" t="str">
        <f t="shared" si="38"/>
        <v/>
      </c>
      <c r="BI60" s="143" t="str">
        <f t="shared" si="38"/>
        <v/>
      </c>
      <c r="BJ60" s="143" t="str">
        <f t="shared" si="38"/>
        <v/>
      </c>
      <c r="BK60" s="143" t="str">
        <f t="shared" si="38"/>
        <v/>
      </c>
      <c r="BL60" s="143" t="str">
        <f t="shared" si="38"/>
        <v/>
      </c>
      <c r="BM60" s="143" t="str">
        <f t="shared" si="38"/>
        <v/>
      </c>
      <c r="BN60" s="143" t="str">
        <f t="shared" si="38"/>
        <v/>
      </c>
      <c r="BO60" s="143" t="str">
        <f t="shared" si="38"/>
        <v/>
      </c>
      <c r="BP60" s="143" t="str">
        <f t="shared" si="38"/>
        <v/>
      </c>
      <c r="BQ60" s="143" t="str">
        <f t="shared" si="38"/>
        <v/>
      </c>
      <c r="BR60" s="143" t="str">
        <f t="shared" si="38"/>
        <v/>
      </c>
      <c r="BS60" s="143" t="str">
        <f t="shared" si="38"/>
        <v/>
      </c>
      <c r="BT60" s="143" t="str">
        <f t="shared" ref="BT60:CX60" si="39">IF(OR(BT39&gt;$D$17,BT39=""),"",BT59+BT41)</f>
        <v/>
      </c>
      <c r="BU60" s="143" t="str">
        <f t="shared" si="39"/>
        <v/>
      </c>
      <c r="BV60" s="143" t="str">
        <f t="shared" si="39"/>
        <v/>
      </c>
      <c r="BW60" s="143" t="str">
        <f t="shared" si="39"/>
        <v/>
      </c>
      <c r="BX60" s="143" t="str">
        <f t="shared" si="39"/>
        <v/>
      </c>
      <c r="BY60" s="143" t="str">
        <f t="shared" si="39"/>
        <v/>
      </c>
      <c r="BZ60" s="143" t="str">
        <f t="shared" si="39"/>
        <v/>
      </c>
      <c r="CA60" s="143" t="str">
        <f t="shared" si="39"/>
        <v/>
      </c>
      <c r="CB60" s="143" t="str">
        <f t="shared" si="39"/>
        <v/>
      </c>
      <c r="CC60" s="143" t="str">
        <f t="shared" si="39"/>
        <v/>
      </c>
      <c r="CD60" s="143" t="str">
        <f t="shared" si="39"/>
        <v/>
      </c>
      <c r="CE60" s="143" t="str">
        <f t="shared" si="39"/>
        <v/>
      </c>
      <c r="CF60" s="143" t="str">
        <f t="shared" si="39"/>
        <v/>
      </c>
      <c r="CG60" s="143" t="str">
        <f t="shared" si="39"/>
        <v/>
      </c>
      <c r="CH60" s="143" t="str">
        <f t="shared" si="39"/>
        <v/>
      </c>
      <c r="CI60" s="143" t="str">
        <f t="shared" si="39"/>
        <v/>
      </c>
      <c r="CJ60" s="143" t="str">
        <f t="shared" si="39"/>
        <v/>
      </c>
      <c r="CK60" s="143" t="str">
        <f t="shared" si="39"/>
        <v/>
      </c>
      <c r="CL60" s="143" t="str">
        <f t="shared" si="39"/>
        <v/>
      </c>
      <c r="CM60" s="143" t="str">
        <f t="shared" si="39"/>
        <v/>
      </c>
      <c r="CN60" s="143" t="str">
        <f t="shared" si="39"/>
        <v/>
      </c>
      <c r="CO60" s="143" t="str">
        <f t="shared" si="39"/>
        <v/>
      </c>
      <c r="CP60" s="143" t="str">
        <f t="shared" si="39"/>
        <v/>
      </c>
      <c r="CQ60" s="143" t="str">
        <f t="shared" si="39"/>
        <v/>
      </c>
      <c r="CR60" s="143" t="str">
        <f t="shared" si="39"/>
        <v/>
      </c>
      <c r="CS60" s="143" t="str">
        <f t="shared" si="39"/>
        <v/>
      </c>
      <c r="CT60" s="143" t="str">
        <f t="shared" si="39"/>
        <v/>
      </c>
      <c r="CU60" s="143" t="str">
        <f t="shared" si="39"/>
        <v/>
      </c>
      <c r="CV60" s="143" t="str">
        <f t="shared" si="39"/>
        <v/>
      </c>
      <c r="CW60" s="143" t="str">
        <f t="shared" si="39"/>
        <v/>
      </c>
      <c r="CX60" s="144" t="str">
        <f t="shared" si="39"/>
        <v/>
      </c>
    </row>
    <row r="61" spans="2:102">
      <c r="B61" s="82"/>
      <c r="C61" s="103"/>
      <c r="D61" s="103"/>
      <c r="E61" s="156"/>
      <c r="F61" s="156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57"/>
      <c r="Y61" s="156"/>
      <c r="Z61" s="156"/>
      <c r="AA61" s="156"/>
      <c r="AB61" s="156"/>
      <c r="AC61" s="103"/>
      <c r="AD61" s="103"/>
      <c r="AE61" s="103"/>
      <c r="AF61" s="158"/>
      <c r="AG61" s="156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  <c r="CD61" s="82"/>
      <c r="CE61" s="82"/>
      <c r="CF61" s="82"/>
      <c r="CG61" s="82"/>
      <c r="CH61" s="82"/>
      <c r="CI61" s="82"/>
      <c r="CJ61" s="82"/>
      <c r="CK61" s="82"/>
      <c r="CL61" s="82"/>
      <c r="CM61" s="82"/>
      <c r="CN61" s="82"/>
      <c r="CO61" s="82"/>
      <c r="CP61" s="82"/>
      <c r="CQ61" s="82"/>
      <c r="CR61" s="82"/>
      <c r="CS61" s="82"/>
      <c r="CT61" s="82"/>
      <c r="CU61" s="82"/>
      <c r="CV61" s="82"/>
      <c r="CW61" s="82"/>
      <c r="CX61" s="82"/>
    </row>
    <row r="62" spans="2:102">
      <c r="B62" s="82"/>
      <c r="C62" s="103"/>
      <c r="D62" s="103"/>
      <c r="E62" s="159"/>
      <c r="F62" s="159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03"/>
      <c r="AG62" s="103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  <c r="CD62" s="82"/>
      <c r="CE62" s="82"/>
      <c r="CF62" s="82"/>
      <c r="CG62" s="82"/>
      <c r="CH62" s="82"/>
      <c r="CI62" s="82"/>
      <c r="CJ62" s="82"/>
      <c r="CK62" s="82"/>
      <c r="CL62" s="82"/>
      <c r="CM62" s="82"/>
      <c r="CN62" s="82"/>
      <c r="CO62" s="82"/>
      <c r="CP62" s="82"/>
      <c r="CQ62" s="82"/>
      <c r="CR62" s="82"/>
      <c r="CS62" s="82"/>
      <c r="CT62" s="82"/>
      <c r="CU62" s="82"/>
      <c r="CV62" s="82"/>
      <c r="CW62" s="82"/>
      <c r="CX62" s="82"/>
    </row>
    <row r="63" spans="2:102">
      <c r="B63" s="82"/>
      <c r="C63" s="103"/>
      <c r="D63" s="103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03"/>
      <c r="AG63" s="103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  <c r="CD63" s="82"/>
      <c r="CE63" s="82"/>
      <c r="CF63" s="82"/>
      <c r="CG63" s="82"/>
      <c r="CH63" s="82"/>
      <c r="CI63" s="82"/>
      <c r="CJ63" s="82"/>
      <c r="CK63" s="82"/>
      <c r="CL63" s="82"/>
      <c r="CM63" s="82"/>
      <c r="CN63" s="82"/>
      <c r="CO63" s="82"/>
      <c r="CP63" s="82"/>
      <c r="CQ63" s="82"/>
      <c r="CR63" s="82"/>
      <c r="CS63" s="82"/>
      <c r="CT63" s="82"/>
      <c r="CU63" s="82"/>
      <c r="CV63" s="82"/>
      <c r="CW63" s="82"/>
      <c r="CX63" s="82"/>
    </row>
    <row r="64" spans="2:102" ht="21.75">
      <c r="B64" s="82"/>
      <c r="C64" s="103"/>
      <c r="D64" s="103"/>
      <c r="E64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03"/>
      <c r="AG64" s="103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</row>
    <row r="65" spans="3:33">
      <c r="C65" s="103"/>
      <c r="D65" s="103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03"/>
      <c r="AG65" s="103"/>
    </row>
    <row r="66" spans="3:33">
      <c r="C66" s="103"/>
      <c r="D66" s="103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6"/>
      <c r="AE66" s="156"/>
      <c r="AF66" s="103"/>
      <c r="AG66" s="103"/>
    </row>
    <row r="67" spans="3:33">
      <c r="C67" s="103"/>
      <c r="D67" s="103"/>
      <c r="E67" s="156"/>
      <c r="F67" s="156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</row>
    <row r="68" spans="3:33"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</row>
    <row r="69" spans="3:33">
      <c r="C69" s="103"/>
      <c r="D69" s="103"/>
      <c r="E69" s="159"/>
      <c r="F69" s="159"/>
      <c r="G69" s="160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103"/>
      <c r="AB69" s="103"/>
      <c r="AC69" s="103"/>
      <c r="AD69" s="103"/>
      <c r="AE69" s="103"/>
      <c r="AF69" s="103"/>
      <c r="AG69" s="103"/>
    </row>
    <row r="72" spans="3:33">
      <c r="C72" s="82"/>
      <c r="D72" s="82"/>
      <c r="E72" s="161"/>
      <c r="F72" s="161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82"/>
      <c r="AE72" s="82"/>
      <c r="AF72" s="82"/>
      <c r="AG72" s="82"/>
    </row>
    <row r="73" spans="3:33">
      <c r="C73" s="82"/>
      <c r="D73" s="82"/>
      <c r="E73" s="161"/>
      <c r="F73" s="161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</row>
  </sheetData>
  <mergeCells count="44">
    <mergeCell ref="F31:I31"/>
    <mergeCell ref="F32:I32"/>
    <mergeCell ref="B27:B29"/>
    <mergeCell ref="B18:B20"/>
    <mergeCell ref="B22:B23"/>
    <mergeCell ref="B30:B31"/>
    <mergeCell ref="B24:B26"/>
    <mergeCell ref="F30:I30"/>
    <mergeCell ref="F20:I20"/>
    <mergeCell ref="F21:I21"/>
    <mergeCell ref="F22:I22"/>
    <mergeCell ref="F23:I23"/>
    <mergeCell ref="F24:I24"/>
    <mergeCell ref="F25:I25"/>
    <mergeCell ref="F26:I26"/>
    <mergeCell ref="F27:I27"/>
    <mergeCell ref="B15:B17"/>
    <mergeCell ref="C7:D7"/>
    <mergeCell ref="C8:D8"/>
    <mergeCell ref="C6:D6"/>
    <mergeCell ref="C9:D9"/>
    <mergeCell ref="C10:D10"/>
    <mergeCell ref="C11:D11"/>
    <mergeCell ref="F15:I15"/>
    <mergeCell ref="F16:I16"/>
    <mergeCell ref="F17:I17"/>
    <mergeCell ref="F18:I18"/>
    <mergeCell ref="F19:I19"/>
    <mergeCell ref="F38:CX38"/>
    <mergeCell ref="B58:B59"/>
    <mergeCell ref="F6:I6"/>
    <mergeCell ref="B45:B57"/>
    <mergeCell ref="B42:B44"/>
    <mergeCell ref="B40:B41"/>
    <mergeCell ref="F33:I33"/>
    <mergeCell ref="F34:I34"/>
    <mergeCell ref="F14:I14"/>
    <mergeCell ref="F7:I7"/>
    <mergeCell ref="F8:I8"/>
    <mergeCell ref="F9:I9"/>
    <mergeCell ref="F10:I10"/>
    <mergeCell ref="F11:I11"/>
    <mergeCell ref="F28:I28"/>
    <mergeCell ref="F29:I29"/>
  </mergeCells>
  <phoneticPr fontId="0" type="noConversion"/>
  <conditionalFormatting sqref="E7:E11">
    <cfRule type="expression" dxfId="23" priority="15">
      <formula>E7="N"</formula>
    </cfRule>
    <cfRule type="expression" dxfId="22" priority="17">
      <formula>E7="Y"</formula>
    </cfRule>
  </conditionalFormatting>
  <conditionalFormatting sqref="E15:E20">
    <cfRule type="expression" dxfId="21" priority="9">
      <formula>E15="N"</formula>
    </cfRule>
    <cfRule type="expression" dxfId="20" priority="10">
      <formula>E15="Y"</formula>
    </cfRule>
  </conditionalFormatting>
  <conditionalFormatting sqref="E21:E26">
    <cfRule type="expression" dxfId="19" priority="7">
      <formula>E21="N"</formula>
    </cfRule>
    <cfRule type="expression" dxfId="18" priority="8">
      <formula>E21="Y"</formula>
    </cfRule>
  </conditionalFormatting>
  <conditionalFormatting sqref="E27:E29">
    <cfRule type="expression" dxfId="17" priority="5">
      <formula>E27="N"</formula>
    </cfRule>
    <cfRule type="expression" dxfId="16" priority="6">
      <formula>E27="Y"</formula>
    </cfRule>
  </conditionalFormatting>
  <conditionalFormatting sqref="E30:E32">
    <cfRule type="expression" dxfId="15" priority="3">
      <formula>E30="N"</formula>
    </cfRule>
    <cfRule type="expression" dxfId="14" priority="4">
      <formula>E30="Y"</formula>
    </cfRule>
  </conditionalFormatting>
  <conditionalFormatting sqref="E33:E34">
    <cfRule type="expression" dxfId="13" priority="1">
      <formula>E33="N"</formula>
    </cfRule>
    <cfRule type="expression" dxfId="12" priority="2">
      <formula>E33="Y"</formula>
    </cfRule>
  </conditionalFormatting>
  <dataValidations count="1">
    <dataValidation type="list" allowBlank="1" showInputMessage="1" showErrorMessage="1" sqref="E7:E11 E15:E34" xr:uid="{00000000-0002-0000-0000-000000000000}">
      <formula1>"Y,N"</formula1>
    </dataValidation>
  </dataValidations>
  <pageMargins left="0.35433070866141736" right="0.23622047244094491" top="0.47244094488188981" bottom="0.31496062992125984" header="0.51181102362204722" footer="0.51181102362204722"/>
  <pageSetup paperSize="9" scale="7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22"/>
  <sheetViews>
    <sheetView workbookViewId="0">
      <selection activeCell="D12" sqref="D12"/>
    </sheetView>
  </sheetViews>
  <sheetFormatPr defaultRowHeight="21.75"/>
  <cols>
    <col min="2" max="2" width="12.85546875" bestFit="1" customWidth="1"/>
    <col min="3" max="3" width="12.5703125" bestFit="1" customWidth="1"/>
    <col min="4" max="4" width="15.42578125" bestFit="1" customWidth="1"/>
    <col min="5" max="5" width="16" bestFit="1" customWidth="1"/>
    <col min="6" max="6" width="32.85546875" bestFit="1" customWidth="1"/>
    <col min="7" max="7" width="23.28515625" bestFit="1" customWidth="1"/>
    <col min="8" max="8" width="25.85546875" bestFit="1" customWidth="1"/>
    <col min="9" max="9" width="29.140625" bestFit="1" customWidth="1"/>
    <col min="10" max="10" width="19.28515625" bestFit="1" customWidth="1"/>
    <col min="11" max="11" width="24.7109375" bestFit="1" customWidth="1"/>
    <col min="12" max="12" width="26.28515625" bestFit="1" customWidth="1"/>
    <col min="13" max="13" width="35.28515625" bestFit="1" customWidth="1"/>
    <col min="14" max="14" width="32" bestFit="1" customWidth="1"/>
    <col min="15" max="15" width="22.140625" bestFit="1" customWidth="1"/>
    <col min="16" max="16" width="14.7109375" bestFit="1" customWidth="1"/>
    <col min="17" max="17" width="20.85546875" bestFit="1" customWidth="1"/>
    <col min="18" max="18" width="50.5703125" customWidth="1"/>
    <col min="19" max="19" width="40.28515625" customWidth="1"/>
    <col min="20" max="20" width="8.85546875" bestFit="1" customWidth="1"/>
    <col min="21" max="21" width="12.140625" bestFit="1" customWidth="1"/>
    <col min="22" max="22" width="25.28515625" bestFit="1" customWidth="1"/>
  </cols>
  <sheetData>
    <row r="1" spans="1:22">
      <c r="A1" s="56">
        <f>1</f>
        <v>1</v>
      </c>
      <c r="B1" s="76" t="s">
        <v>77</v>
      </c>
      <c r="C1" s="89" t="s">
        <v>16</v>
      </c>
      <c r="D1" s="93"/>
      <c r="E1" s="95"/>
      <c r="F1" s="98" t="s">
        <v>21</v>
      </c>
      <c r="G1" s="98"/>
      <c r="H1" s="98"/>
      <c r="I1" s="100" t="s">
        <v>26</v>
      </c>
      <c r="J1" s="98" t="s">
        <v>29</v>
      </c>
      <c r="K1" s="98"/>
      <c r="L1" s="89" t="s">
        <v>32</v>
      </c>
      <c r="M1" s="93"/>
      <c r="N1" s="95"/>
      <c r="O1" s="98" t="s">
        <v>36</v>
      </c>
      <c r="P1" s="98"/>
      <c r="Q1" s="98"/>
      <c r="R1" s="89" t="s">
        <v>42</v>
      </c>
      <c r="S1" s="95"/>
      <c r="T1" s="75" t="s">
        <v>78</v>
      </c>
      <c r="U1" s="162"/>
      <c r="V1" s="162"/>
    </row>
    <row r="2" spans="1:22">
      <c r="A2" s="57" t="s">
        <v>79</v>
      </c>
      <c r="B2" s="77"/>
      <c r="C2" s="90" t="s">
        <v>17</v>
      </c>
      <c r="D2" s="90" t="s">
        <v>19</v>
      </c>
      <c r="E2" s="90" t="s">
        <v>20</v>
      </c>
      <c r="F2" s="90" t="s">
        <v>22</v>
      </c>
      <c r="G2" s="90" t="s">
        <v>24</v>
      </c>
      <c r="H2" s="90" t="s">
        <v>25</v>
      </c>
      <c r="I2" s="90" t="s">
        <v>27</v>
      </c>
      <c r="J2" s="90" t="s">
        <v>30</v>
      </c>
      <c r="K2" s="90" t="s">
        <v>31</v>
      </c>
      <c r="L2" s="90" t="s">
        <v>33</v>
      </c>
      <c r="M2" s="90" t="s">
        <v>34</v>
      </c>
      <c r="N2" s="90" t="s">
        <v>35</v>
      </c>
      <c r="O2" s="90" t="s">
        <v>37</v>
      </c>
      <c r="P2" s="90" t="s">
        <v>40</v>
      </c>
      <c r="Q2" s="90" t="s">
        <v>41</v>
      </c>
      <c r="R2" s="59" t="s">
        <v>80</v>
      </c>
      <c r="S2" s="59" t="s">
        <v>81</v>
      </c>
      <c r="T2" s="90" t="s">
        <v>45</v>
      </c>
      <c r="U2" s="90" t="s">
        <v>46</v>
      </c>
      <c r="V2" s="90" t="s">
        <v>48</v>
      </c>
    </row>
    <row r="3" spans="1:22">
      <c r="B3" s="58">
        <f>'Pricing SPV'!D3</f>
        <v>4038.6908398824062</v>
      </c>
      <c r="C3" s="91">
        <v>5000</v>
      </c>
      <c r="D3" s="94">
        <v>1.8</v>
      </c>
      <c r="E3" s="94">
        <v>40</v>
      </c>
      <c r="F3" s="99">
        <v>2.6200000000000001E-2</v>
      </c>
      <c r="G3" s="99">
        <v>4.6100000000000002E-2</v>
      </c>
      <c r="H3" s="99">
        <f>G3/12</f>
        <v>3.8416666666666668E-3</v>
      </c>
      <c r="I3" s="51">
        <v>0</v>
      </c>
      <c r="J3" s="51">
        <v>0.02</v>
      </c>
      <c r="K3" s="51">
        <f>J3/12</f>
        <v>1.6666666666666668E-3</v>
      </c>
      <c r="L3" s="51">
        <v>7.1000000000000004E-3</v>
      </c>
      <c r="M3" s="51">
        <v>1E-3</v>
      </c>
      <c r="N3" s="51">
        <v>3.3000000000000002E-2</v>
      </c>
      <c r="O3" s="101" t="s">
        <v>38</v>
      </c>
      <c r="P3" s="99">
        <v>0.3342</v>
      </c>
      <c r="Q3" s="99">
        <v>1.03</v>
      </c>
      <c r="R3" s="60">
        <f>0.12/12</f>
        <v>0.01</v>
      </c>
      <c r="S3" s="60">
        <f>0.1/12</f>
        <v>8.3333333333333332E-3</v>
      </c>
      <c r="T3" s="51">
        <v>0.2</v>
      </c>
      <c r="U3" s="99">
        <v>0.125</v>
      </c>
      <c r="V3" s="99">
        <f>U3/12</f>
        <v>1.0416666666666666E-2</v>
      </c>
    </row>
    <row r="4" spans="1:22">
      <c r="A4" s="36">
        <v>1</v>
      </c>
      <c r="B4" s="36">
        <f t="dataTable" ref="B4:B22" dt2D="0" dtr="0" r1="A1"/>
        <v>4038.6908398824062</v>
      </c>
      <c r="C4" s="91">
        <v>5000</v>
      </c>
      <c r="D4" s="94">
        <v>1.8</v>
      </c>
      <c r="E4" s="94">
        <v>40</v>
      </c>
      <c r="F4" s="99">
        <v>2.6200000000000001E-2</v>
      </c>
      <c r="G4" s="99">
        <v>4.6100000000000002E-2</v>
      </c>
      <c r="H4" s="99">
        <f>G4/12</f>
        <v>3.8416666666666668E-3</v>
      </c>
      <c r="I4" s="51">
        <v>0</v>
      </c>
      <c r="J4" s="51">
        <v>0.02</v>
      </c>
      <c r="K4" s="51">
        <f>J4/12</f>
        <v>1.6666666666666668E-3</v>
      </c>
      <c r="L4" s="51">
        <v>7.1000000000000004E-3</v>
      </c>
      <c r="M4" s="51">
        <v>1E-3</v>
      </c>
      <c r="N4" s="51">
        <v>3.3000000000000002E-2</v>
      </c>
      <c r="O4" s="101" t="s">
        <v>38</v>
      </c>
      <c r="P4" s="99">
        <v>0.3342</v>
      </c>
      <c r="Q4" s="99">
        <v>1.03</v>
      </c>
      <c r="R4" s="60">
        <f t="shared" ref="R4:R22" si="0">0.12/12</f>
        <v>0.01</v>
      </c>
      <c r="S4" s="60">
        <f t="shared" ref="S4:S22" si="1">0.1/12</f>
        <v>8.3333333333333332E-3</v>
      </c>
      <c r="T4" s="51">
        <v>0.2</v>
      </c>
      <c r="U4" s="99">
        <v>0.125</v>
      </c>
      <c r="V4" s="99">
        <f>U4/12</f>
        <v>1.0416666666666666E-2</v>
      </c>
    </row>
    <row r="5" spans="1:22">
      <c r="A5" s="36">
        <v>2</v>
      </c>
      <c r="B5" s="36">
        <v>8356.5990200328652</v>
      </c>
      <c r="C5" s="91">
        <v>10000</v>
      </c>
      <c r="D5" s="94">
        <v>1.8</v>
      </c>
      <c r="E5" s="94">
        <v>40</v>
      </c>
      <c r="F5" s="99">
        <v>2.6200000000000001E-2</v>
      </c>
      <c r="G5" s="99">
        <v>4.6100000000000002E-2</v>
      </c>
      <c r="H5" s="99">
        <f>G5/12</f>
        <v>3.8416666666666668E-3</v>
      </c>
      <c r="I5" s="51">
        <v>2E-3</v>
      </c>
      <c r="J5" s="51">
        <v>0.02</v>
      </c>
      <c r="K5" s="51">
        <f>J5/12</f>
        <v>1.6666666666666668E-3</v>
      </c>
      <c r="L5" s="51">
        <v>7.1000000000000004E-3</v>
      </c>
      <c r="M5" s="51">
        <v>1E-3</v>
      </c>
      <c r="N5" s="51">
        <v>3.3000000000000002E-2</v>
      </c>
      <c r="O5" s="101" t="s">
        <v>38</v>
      </c>
      <c r="P5" s="99">
        <v>0.3342</v>
      </c>
      <c r="Q5" s="99">
        <v>1.03</v>
      </c>
      <c r="R5" s="60">
        <f t="shared" si="0"/>
        <v>0.01</v>
      </c>
      <c r="S5" s="60">
        <f t="shared" si="1"/>
        <v>8.3333333333333332E-3</v>
      </c>
      <c r="T5" s="51">
        <v>0.2</v>
      </c>
      <c r="U5" s="99">
        <v>0.125</v>
      </c>
      <c r="V5" s="99">
        <f>U5/12</f>
        <v>1.0416666666666666E-2</v>
      </c>
    </row>
    <row r="6" spans="1:22">
      <c r="A6" s="36">
        <v>3</v>
      </c>
      <c r="B6" s="36">
        <v>12534.898530049293</v>
      </c>
      <c r="C6" s="91">
        <v>15000</v>
      </c>
      <c r="D6" s="94">
        <v>1.8</v>
      </c>
      <c r="E6" s="94">
        <v>40</v>
      </c>
      <c r="F6" s="99">
        <v>2.6200000000000001E-2</v>
      </c>
      <c r="G6" s="99">
        <v>4.6100000000000002E-2</v>
      </c>
      <c r="H6" s="99">
        <f t="shared" ref="H6:H22" si="2">G6/12</f>
        <v>3.8416666666666668E-3</v>
      </c>
      <c r="I6" s="51">
        <v>2E-3</v>
      </c>
      <c r="J6" s="51">
        <v>0.02</v>
      </c>
      <c r="K6" s="51">
        <f t="shared" ref="K6:K22" si="3">J6/12</f>
        <v>1.6666666666666668E-3</v>
      </c>
      <c r="L6" s="51">
        <v>7.1000000000000004E-3</v>
      </c>
      <c r="M6" s="51">
        <v>1E-3</v>
      </c>
      <c r="N6" s="51">
        <v>3.3000000000000002E-2</v>
      </c>
      <c r="O6" s="101" t="s">
        <v>38</v>
      </c>
      <c r="P6" s="99">
        <v>0.3342</v>
      </c>
      <c r="Q6" s="99">
        <v>1.03</v>
      </c>
      <c r="R6" s="60">
        <f t="shared" si="0"/>
        <v>0.01</v>
      </c>
      <c r="S6" s="60">
        <f t="shared" si="1"/>
        <v>8.3333333333333332E-3</v>
      </c>
      <c r="T6" s="51">
        <v>0.2</v>
      </c>
      <c r="U6" s="99">
        <v>0.125</v>
      </c>
      <c r="V6" s="99">
        <f t="shared" ref="V6:V22" si="4">U6/12</f>
        <v>1.0416666666666666E-2</v>
      </c>
    </row>
    <row r="7" spans="1:22">
      <c r="A7" s="36">
        <v>4</v>
      </c>
      <c r="B7" s="36">
        <v>16713.19804006573</v>
      </c>
      <c r="C7" s="91">
        <v>20000</v>
      </c>
      <c r="D7" s="94">
        <v>1.8</v>
      </c>
      <c r="E7" s="94">
        <v>40</v>
      </c>
      <c r="F7" s="99">
        <v>2.6200000000000001E-2</v>
      </c>
      <c r="G7" s="99">
        <v>4.6100000000000002E-2</v>
      </c>
      <c r="H7" s="99">
        <f t="shared" si="2"/>
        <v>3.8416666666666668E-3</v>
      </c>
      <c r="I7" s="51">
        <v>2E-3</v>
      </c>
      <c r="J7" s="51">
        <v>0.02</v>
      </c>
      <c r="K7" s="51">
        <f t="shared" si="3"/>
        <v>1.6666666666666668E-3</v>
      </c>
      <c r="L7" s="51">
        <v>7.1000000000000004E-3</v>
      </c>
      <c r="M7" s="51">
        <v>1E-3</v>
      </c>
      <c r="N7" s="51">
        <v>3.3000000000000002E-2</v>
      </c>
      <c r="O7" s="101" t="s">
        <v>38</v>
      </c>
      <c r="P7" s="99">
        <v>0.3342</v>
      </c>
      <c r="Q7" s="99">
        <v>1.03</v>
      </c>
      <c r="R7" s="60">
        <f t="shared" si="0"/>
        <v>0.01</v>
      </c>
      <c r="S7" s="60">
        <f t="shared" si="1"/>
        <v>8.3333333333333332E-3</v>
      </c>
      <c r="T7" s="51">
        <v>0.2</v>
      </c>
      <c r="U7" s="99">
        <v>0.125</v>
      </c>
      <c r="V7" s="99">
        <f t="shared" si="4"/>
        <v>1.0416666666666666E-2</v>
      </c>
    </row>
    <row r="8" spans="1:22">
      <c r="A8" s="36">
        <v>5</v>
      </c>
      <c r="B8" s="36">
        <v>8356.5990200328652</v>
      </c>
      <c r="C8" s="91">
        <v>10000</v>
      </c>
      <c r="D8" s="94">
        <v>1.8</v>
      </c>
      <c r="E8" s="94">
        <v>40</v>
      </c>
      <c r="F8" s="99">
        <v>2.6200000000000001E-2</v>
      </c>
      <c r="G8" s="99">
        <v>4.6100000000000002E-2</v>
      </c>
      <c r="H8" s="99">
        <f t="shared" si="2"/>
        <v>3.8416666666666668E-3</v>
      </c>
      <c r="I8" s="51">
        <v>2E-3</v>
      </c>
      <c r="J8" s="51">
        <v>0.02</v>
      </c>
      <c r="K8" s="51">
        <f t="shared" si="3"/>
        <v>1.6666666666666668E-3</v>
      </c>
      <c r="L8" s="51">
        <v>7.1000000000000004E-3</v>
      </c>
      <c r="M8" s="51">
        <v>1E-3</v>
      </c>
      <c r="N8" s="51">
        <v>3.3000000000000002E-2</v>
      </c>
      <c r="O8" s="101" t="s">
        <v>38</v>
      </c>
      <c r="P8" s="99">
        <v>0.3342</v>
      </c>
      <c r="Q8" s="99">
        <v>1.03</v>
      </c>
      <c r="R8" s="60">
        <f t="shared" si="0"/>
        <v>0.01</v>
      </c>
      <c r="S8" s="60">
        <f t="shared" si="1"/>
        <v>8.3333333333333332E-3</v>
      </c>
      <c r="T8" s="51">
        <v>0.2</v>
      </c>
      <c r="U8" s="99">
        <v>0.125</v>
      </c>
      <c r="V8" s="99">
        <f t="shared" si="4"/>
        <v>1.0416666666666666E-2</v>
      </c>
    </row>
    <row r="9" spans="1:22">
      <c r="A9" s="36">
        <v>6</v>
      </c>
      <c r="B9" s="36">
        <v>8356.5990200328652</v>
      </c>
      <c r="C9" s="91">
        <v>10000</v>
      </c>
      <c r="D9" s="94">
        <v>1.8</v>
      </c>
      <c r="E9" s="94">
        <v>40</v>
      </c>
      <c r="F9" s="99">
        <v>2.6200000000000001E-2</v>
      </c>
      <c r="G9" s="99">
        <v>4.6100000000000002E-2</v>
      </c>
      <c r="H9" s="99">
        <f t="shared" si="2"/>
        <v>3.8416666666666668E-3</v>
      </c>
      <c r="I9" s="51">
        <v>2E-3</v>
      </c>
      <c r="J9" s="51">
        <v>0.02</v>
      </c>
      <c r="K9" s="51">
        <f t="shared" si="3"/>
        <v>1.6666666666666668E-3</v>
      </c>
      <c r="L9" s="51">
        <v>7.1000000000000004E-3</v>
      </c>
      <c r="M9" s="51">
        <v>1E-3</v>
      </c>
      <c r="N9" s="51">
        <v>3.3000000000000002E-2</v>
      </c>
      <c r="O9" s="101" t="s">
        <v>38</v>
      </c>
      <c r="P9" s="99">
        <v>0.3342</v>
      </c>
      <c r="Q9" s="99">
        <v>1.03</v>
      </c>
      <c r="R9" s="60">
        <f t="shared" si="0"/>
        <v>0.01</v>
      </c>
      <c r="S9" s="60">
        <f t="shared" si="1"/>
        <v>8.3333333333333332E-3</v>
      </c>
      <c r="T9" s="51">
        <v>0.2</v>
      </c>
      <c r="U9" s="99">
        <v>0.125</v>
      </c>
      <c r="V9" s="99">
        <f t="shared" si="4"/>
        <v>1.0416666666666666E-2</v>
      </c>
    </row>
    <row r="10" spans="1:22">
      <c r="A10" s="36">
        <v>7</v>
      </c>
      <c r="B10" s="36">
        <v>7712.3008243078293</v>
      </c>
      <c r="C10" s="91">
        <v>10000</v>
      </c>
      <c r="D10" s="94">
        <v>1.8</v>
      </c>
      <c r="E10" s="94">
        <v>60</v>
      </c>
      <c r="F10" s="99">
        <v>2.6200000000000001E-2</v>
      </c>
      <c r="G10" s="99">
        <v>4.6100000000000002E-2</v>
      </c>
      <c r="H10" s="99">
        <f t="shared" si="2"/>
        <v>3.8416666666666668E-3</v>
      </c>
      <c r="I10" s="51">
        <v>2E-3</v>
      </c>
      <c r="J10" s="51">
        <v>0.02</v>
      </c>
      <c r="K10" s="51">
        <f t="shared" si="3"/>
        <v>1.6666666666666668E-3</v>
      </c>
      <c r="L10" s="51">
        <v>7.1000000000000004E-3</v>
      </c>
      <c r="M10" s="51">
        <v>1E-3</v>
      </c>
      <c r="N10" s="51">
        <v>3.3000000000000002E-2</v>
      </c>
      <c r="O10" s="101" t="s">
        <v>38</v>
      </c>
      <c r="P10" s="99">
        <v>0.3342</v>
      </c>
      <c r="Q10" s="99">
        <v>1.03</v>
      </c>
      <c r="R10" s="60">
        <f t="shared" si="0"/>
        <v>0.01</v>
      </c>
      <c r="S10" s="60">
        <f t="shared" si="1"/>
        <v>8.3333333333333332E-3</v>
      </c>
      <c r="T10" s="51">
        <v>0.2</v>
      </c>
      <c r="U10" s="99">
        <v>0.125</v>
      </c>
      <c r="V10" s="99">
        <f t="shared" si="4"/>
        <v>1.0416666666666666E-2</v>
      </c>
    </row>
    <row r="11" spans="1:22">
      <c r="A11" s="36">
        <v>8</v>
      </c>
      <c r="B11" s="36">
        <v>8356.5990200328652</v>
      </c>
      <c r="C11" s="91">
        <v>10000</v>
      </c>
      <c r="D11" s="94">
        <v>1.8</v>
      </c>
      <c r="E11" s="94">
        <v>40</v>
      </c>
      <c r="F11" s="99">
        <v>2.6200000000000001E-2</v>
      </c>
      <c r="G11" s="99">
        <v>4.6100000000000002E-2</v>
      </c>
      <c r="H11" s="99">
        <f t="shared" si="2"/>
        <v>3.8416666666666668E-3</v>
      </c>
      <c r="I11" s="51">
        <v>2E-3</v>
      </c>
      <c r="J11" s="51">
        <v>0.02</v>
      </c>
      <c r="K11" s="51">
        <f t="shared" si="3"/>
        <v>1.6666666666666668E-3</v>
      </c>
      <c r="L11" s="51">
        <v>7.1000000000000004E-3</v>
      </c>
      <c r="M11" s="51">
        <v>1E-3</v>
      </c>
      <c r="N11" s="51">
        <v>3.3000000000000002E-2</v>
      </c>
      <c r="O11" s="101" t="s">
        <v>38</v>
      </c>
      <c r="P11" s="99">
        <v>0.3342</v>
      </c>
      <c r="Q11" s="99">
        <v>1.03</v>
      </c>
      <c r="R11" s="60">
        <f t="shared" si="0"/>
        <v>0.01</v>
      </c>
      <c r="S11" s="60">
        <f t="shared" si="1"/>
        <v>8.3333333333333332E-3</v>
      </c>
      <c r="T11" s="51">
        <v>0.2</v>
      </c>
      <c r="U11" s="99">
        <v>0.125</v>
      </c>
      <c r="V11" s="99">
        <f t="shared" si="4"/>
        <v>1.0416666666666666E-2</v>
      </c>
    </row>
    <row r="12" spans="1:22">
      <c r="A12" s="36">
        <v>9</v>
      </c>
      <c r="B12" s="36">
        <v>8356.5990200328652</v>
      </c>
      <c r="C12" s="91">
        <v>10000</v>
      </c>
      <c r="D12" s="94">
        <v>1.8</v>
      </c>
      <c r="E12" s="94">
        <v>40</v>
      </c>
      <c r="F12" s="99">
        <v>2.6200000000000001E-2</v>
      </c>
      <c r="G12" s="99">
        <v>4.6100000000000002E-2</v>
      </c>
      <c r="H12" s="99">
        <f t="shared" si="2"/>
        <v>3.8416666666666668E-3</v>
      </c>
      <c r="I12" s="51">
        <v>2E-3</v>
      </c>
      <c r="J12" s="51">
        <v>0.02</v>
      </c>
      <c r="K12" s="51">
        <f t="shared" si="3"/>
        <v>1.6666666666666668E-3</v>
      </c>
      <c r="L12" s="51">
        <v>7.1000000000000004E-3</v>
      </c>
      <c r="M12" s="51">
        <v>1E-3</v>
      </c>
      <c r="N12" s="51">
        <v>3.3000000000000002E-2</v>
      </c>
      <c r="O12" s="101" t="s">
        <v>38</v>
      </c>
      <c r="P12" s="99">
        <v>0.3342</v>
      </c>
      <c r="Q12" s="99">
        <v>1.03</v>
      </c>
      <c r="R12" s="60">
        <f t="shared" si="0"/>
        <v>0.01</v>
      </c>
      <c r="S12" s="60">
        <f t="shared" si="1"/>
        <v>8.3333333333333332E-3</v>
      </c>
      <c r="T12" s="51">
        <v>0.2</v>
      </c>
      <c r="U12" s="99">
        <v>0.125</v>
      </c>
      <c r="V12" s="99">
        <f t="shared" si="4"/>
        <v>1.0416666666666666E-2</v>
      </c>
    </row>
    <row r="13" spans="1:22">
      <c r="A13" s="36">
        <v>10</v>
      </c>
      <c r="B13" s="36">
        <v>8356.5990200328652</v>
      </c>
      <c r="C13" s="91">
        <v>10000</v>
      </c>
      <c r="D13" s="94">
        <v>1.8</v>
      </c>
      <c r="E13" s="94">
        <v>40</v>
      </c>
      <c r="F13" s="99">
        <v>2.6200000000000001E-2</v>
      </c>
      <c r="G13" s="99">
        <v>4.6100000000000002E-2</v>
      </c>
      <c r="H13" s="99">
        <f t="shared" si="2"/>
        <v>3.8416666666666668E-3</v>
      </c>
      <c r="I13" s="51">
        <v>2E-3</v>
      </c>
      <c r="J13" s="51">
        <v>0.02</v>
      </c>
      <c r="K13" s="51">
        <f t="shared" si="3"/>
        <v>1.6666666666666668E-3</v>
      </c>
      <c r="L13" s="51">
        <v>7.1000000000000004E-3</v>
      </c>
      <c r="M13" s="51">
        <v>1E-3</v>
      </c>
      <c r="N13" s="51">
        <v>3.3000000000000002E-2</v>
      </c>
      <c r="O13" s="101" t="s">
        <v>38</v>
      </c>
      <c r="P13" s="99">
        <v>0.3342</v>
      </c>
      <c r="Q13" s="99">
        <v>1.03</v>
      </c>
      <c r="R13" s="60">
        <f t="shared" si="0"/>
        <v>0.01</v>
      </c>
      <c r="S13" s="60">
        <f t="shared" si="1"/>
        <v>8.3333333333333332E-3</v>
      </c>
      <c r="T13" s="51">
        <v>0.2</v>
      </c>
      <c r="U13" s="99">
        <v>0.125</v>
      </c>
      <c r="V13" s="99">
        <f t="shared" si="4"/>
        <v>1.0416666666666666E-2</v>
      </c>
    </row>
    <row r="14" spans="1:22">
      <c r="A14" s="36">
        <v>11</v>
      </c>
      <c r="B14" s="36">
        <v>8356.5990200328652</v>
      </c>
      <c r="C14" s="91">
        <v>10000</v>
      </c>
      <c r="D14" s="94">
        <v>1.8</v>
      </c>
      <c r="E14" s="94">
        <v>40</v>
      </c>
      <c r="F14" s="99">
        <v>2.6200000000000001E-2</v>
      </c>
      <c r="G14" s="99">
        <v>4.6100000000000002E-2</v>
      </c>
      <c r="H14" s="99">
        <f t="shared" si="2"/>
        <v>3.8416666666666668E-3</v>
      </c>
      <c r="I14" s="51">
        <v>2E-3</v>
      </c>
      <c r="J14" s="51">
        <v>0.02</v>
      </c>
      <c r="K14" s="51">
        <f t="shared" si="3"/>
        <v>1.6666666666666668E-3</v>
      </c>
      <c r="L14" s="51">
        <v>7.1000000000000004E-3</v>
      </c>
      <c r="M14" s="51">
        <v>1E-3</v>
      </c>
      <c r="N14" s="51">
        <v>3.3000000000000002E-2</v>
      </c>
      <c r="O14" s="101" t="s">
        <v>38</v>
      </c>
      <c r="P14" s="99">
        <v>0.3342</v>
      </c>
      <c r="Q14" s="99">
        <v>1.03</v>
      </c>
      <c r="R14" s="60">
        <f t="shared" si="0"/>
        <v>0.01</v>
      </c>
      <c r="S14" s="60">
        <f t="shared" si="1"/>
        <v>8.3333333333333332E-3</v>
      </c>
      <c r="T14" s="51">
        <v>0.2</v>
      </c>
      <c r="U14" s="99">
        <v>0.125</v>
      </c>
      <c r="V14" s="99">
        <f t="shared" si="4"/>
        <v>1.0416666666666666E-2</v>
      </c>
    </row>
    <row r="15" spans="1:22">
      <c r="A15" s="36">
        <v>12</v>
      </c>
      <c r="B15" s="36">
        <v>8356.5990200328652</v>
      </c>
      <c r="C15" s="91">
        <v>10000</v>
      </c>
      <c r="D15" s="94">
        <v>1.8</v>
      </c>
      <c r="E15" s="94">
        <v>40</v>
      </c>
      <c r="F15" s="99">
        <v>2.6200000000000001E-2</v>
      </c>
      <c r="G15" s="99">
        <v>4.6100000000000002E-2</v>
      </c>
      <c r="H15" s="99">
        <f t="shared" si="2"/>
        <v>3.8416666666666668E-3</v>
      </c>
      <c r="I15" s="51">
        <v>2E-3</v>
      </c>
      <c r="J15" s="51">
        <v>0.02</v>
      </c>
      <c r="K15" s="51">
        <f t="shared" si="3"/>
        <v>1.6666666666666668E-3</v>
      </c>
      <c r="L15" s="51">
        <v>7.1000000000000004E-3</v>
      </c>
      <c r="M15" s="51">
        <v>1E-3</v>
      </c>
      <c r="N15" s="51">
        <v>3.3000000000000002E-2</v>
      </c>
      <c r="O15" s="101" t="s">
        <v>38</v>
      </c>
      <c r="P15" s="99">
        <v>0.3342</v>
      </c>
      <c r="Q15" s="99">
        <v>1.03</v>
      </c>
      <c r="R15" s="60">
        <f t="shared" si="0"/>
        <v>0.01</v>
      </c>
      <c r="S15" s="60">
        <f t="shared" si="1"/>
        <v>8.3333333333333332E-3</v>
      </c>
      <c r="T15" s="51">
        <v>0.2</v>
      </c>
      <c r="U15" s="99">
        <v>0.125</v>
      </c>
      <c r="V15" s="99">
        <f t="shared" si="4"/>
        <v>1.0416666666666666E-2</v>
      </c>
    </row>
    <row r="16" spans="1:22">
      <c r="A16" s="36">
        <v>13</v>
      </c>
      <c r="B16" s="36">
        <v>8356.5990200328652</v>
      </c>
      <c r="C16" s="91">
        <v>10000</v>
      </c>
      <c r="D16" s="94">
        <v>1.8</v>
      </c>
      <c r="E16" s="94">
        <v>40</v>
      </c>
      <c r="F16" s="99">
        <v>2.6200000000000001E-2</v>
      </c>
      <c r="G16" s="99">
        <v>4.6100000000000002E-2</v>
      </c>
      <c r="H16" s="99">
        <f t="shared" si="2"/>
        <v>3.8416666666666668E-3</v>
      </c>
      <c r="I16" s="51">
        <v>2E-3</v>
      </c>
      <c r="J16" s="51">
        <v>0.02</v>
      </c>
      <c r="K16" s="51">
        <f t="shared" si="3"/>
        <v>1.6666666666666668E-3</v>
      </c>
      <c r="L16" s="51">
        <v>7.1000000000000004E-3</v>
      </c>
      <c r="M16" s="51">
        <v>1E-3</v>
      </c>
      <c r="N16" s="51">
        <v>3.3000000000000002E-2</v>
      </c>
      <c r="O16" s="101" t="s">
        <v>38</v>
      </c>
      <c r="P16" s="99">
        <v>0.3342</v>
      </c>
      <c r="Q16" s="99">
        <v>1.03</v>
      </c>
      <c r="R16" s="60">
        <f t="shared" si="0"/>
        <v>0.01</v>
      </c>
      <c r="S16" s="60">
        <f t="shared" si="1"/>
        <v>8.3333333333333332E-3</v>
      </c>
      <c r="T16" s="51">
        <v>0.2</v>
      </c>
      <c r="U16" s="99">
        <v>0.125</v>
      </c>
      <c r="V16" s="99">
        <f t="shared" si="4"/>
        <v>1.0416666666666666E-2</v>
      </c>
    </row>
    <row r="17" spans="1:22">
      <c r="A17" s="36">
        <v>14</v>
      </c>
      <c r="B17" s="36">
        <v>8356.5990200328652</v>
      </c>
      <c r="C17" s="91">
        <v>10000</v>
      </c>
      <c r="D17" s="94">
        <v>1.8</v>
      </c>
      <c r="E17" s="94">
        <v>40</v>
      </c>
      <c r="F17" s="99">
        <v>2.6200000000000001E-2</v>
      </c>
      <c r="G17" s="99">
        <v>4.6100000000000002E-2</v>
      </c>
      <c r="H17" s="99">
        <f t="shared" si="2"/>
        <v>3.8416666666666668E-3</v>
      </c>
      <c r="I17" s="51">
        <v>2E-3</v>
      </c>
      <c r="J17" s="51">
        <v>0.02</v>
      </c>
      <c r="K17" s="51">
        <f t="shared" si="3"/>
        <v>1.6666666666666668E-3</v>
      </c>
      <c r="L17" s="51">
        <v>7.1000000000000004E-3</v>
      </c>
      <c r="M17" s="51">
        <v>1E-3</v>
      </c>
      <c r="N17" s="51">
        <v>3.3000000000000002E-2</v>
      </c>
      <c r="O17" s="101" t="s">
        <v>38</v>
      </c>
      <c r="P17" s="99">
        <v>0.3342</v>
      </c>
      <c r="Q17" s="99">
        <v>1.03</v>
      </c>
      <c r="R17" s="60">
        <f t="shared" si="0"/>
        <v>0.01</v>
      </c>
      <c r="S17" s="60">
        <f t="shared" si="1"/>
        <v>8.3333333333333332E-3</v>
      </c>
      <c r="T17" s="51">
        <v>0.2</v>
      </c>
      <c r="U17" s="99">
        <v>0.125</v>
      </c>
      <c r="V17" s="99">
        <f t="shared" si="4"/>
        <v>1.0416666666666666E-2</v>
      </c>
    </row>
    <row r="18" spans="1:22">
      <c r="A18" s="36">
        <v>15</v>
      </c>
      <c r="B18" s="36">
        <v>8356.5990200328652</v>
      </c>
      <c r="C18" s="91">
        <v>10000</v>
      </c>
      <c r="D18" s="94">
        <v>1.8</v>
      </c>
      <c r="E18" s="94">
        <v>40</v>
      </c>
      <c r="F18" s="99">
        <v>2.6200000000000001E-2</v>
      </c>
      <c r="G18" s="99">
        <v>4.6100000000000002E-2</v>
      </c>
      <c r="H18" s="99">
        <f t="shared" si="2"/>
        <v>3.8416666666666668E-3</v>
      </c>
      <c r="I18" s="51">
        <v>2E-3</v>
      </c>
      <c r="J18" s="51">
        <v>0.02</v>
      </c>
      <c r="K18" s="51">
        <f t="shared" si="3"/>
        <v>1.6666666666666668E-3</v>
      </c>
      <c r="L18" s="51">
        <v>7.1000000000000004E-3</v>
      </c>
      <c r="M18" s="51">
        <v>1E-3</v>
      </c>
      <c r="N18" s="51">
        <v>3.3000000000000002E-2</v>
      </c>
      <c r="O18" s="101" t="s">
        <v>38</v>
      </c>
      <c r="P18" s="99">
        <v>0.3342</v>
      </c>
      <c r="Q18" s="99">
        <v>1.03</v>
      </c>
      <c r="R18" s="60">
        <f t="shared" si="0"/>
        <v>0.01</v>
      </c>
      <c r="S18" s="60">
        <f t="shared" si="1"/>
        <v>8.3333333333333332E-3</v>
      </c>
      <c r="T18" s="51">
        <v>0.2</v>
      </c>
      <c r="U18" s="99">
        <v>0.125</v>
      </c>
      <c r="V18" s="99">
        <f t="shared" si="4"/>
        <v>1.0416666666666666E-2</v>
      </c>
    </row>
    <row r="19" spans="1:22">
      <c r="A19" s="36">
        <v>16</v>
      </c>
      <c r="B19" s="36">
        <v>8356.5990200328652</v>
      </c>
      <c r="C19" s="91">
        <v>10000</v>
      </c>
      <c r="D19" s="94">
        <v>1.8</v>
      </c>
      <c r="E19" s="94">
        <v>40</v>
      </c>
      <c r="F19" s="99">
        <v>2.6200000000000001E-2</v>
      </c>
      <c r="G19" s="99">
        <v>4.6100000000000002E-2</v>
      </c>
      <c r="H19" s="99">
        <f t="shared" si="2"/>
        <v>3.8416666666666668E-3</v>
      </c>
      <c r="I19" s="51">
        <v>2E-3</v>
      </c>
      <c r="J19" s="51">
        <v>0.02</v>
      </c>
      <c r="K19" s="51">
        <f t="shared" si="3"/>
        <v>1.6666666666666668E-3</v>
      </c>
      <c r="L19" s="51">
        <v>7.1000000000000004E-3</v>
      </c>
      <c r="M19" s="51">
        <v>1E-3</v>
      </c>
      <c r="N19" s="51">
        <v>3.3000000000000002E-2</v>
      </c>
      <c r="O19" s="101" t="s">
        <v>38</v>
      </c>
      <c r="P19" s="99">
        <v>0.3342</v>
      </c>
      <c r="Q19" s="99">
        <v>1.03</v>
      </c>
      <c r="R19" s="60">
        <f t="shared" si="0"/>
        <v>0.01</v>
      </c>
      <c r="S19" s="60">
        <f t="shared" si="1"/>
        <v>8.3333333333333332E-3</v>
      </c>
      <c r="T19" s="51">
        <v>0.2</v>
      </c>
      <c r="U19" s="99">
        <v>0.125</v>
      </c>
      <c r="V19" s="99">
        <f t="shared" si="4"/>
        <v>1.0416666666666666E-2</v>
      </c>
    </row>
    <row r="20" spans="1:22">
      <c r="A20" s="36">
        <v>17</v>
      </c>
      <c r="B20" s="36">
        <v>8356.5990200328652</v>
      </c>
      <c r="C20" s="91">
        <v>10000</v>
      </c>
      <c r="D20" s="94">
        <v>1.8</v>
      </c>
      <c r="E20" s="94">
        <v>40</v>
      </c>
      <c r="F20" s="99">
        <v>2.6200000000000001E-2</v>
      </c>
      <c r="G20" s="99">
        <v>4.6100000000000002E-2</v>
      </c>
      <c r="H20" s="99">
        <f t="shared" si="2"/>
        <v>3.8416666666666668E-3</v>
      </c>
      <c r="I20" s="51">
        <v>2E-3</v>
      </c>
      <c r="J20" s="51">
        <v>0.02</v>
      </c>
      <c r="K20" s="51">
        <f t="shared" si="3"/>
        <v>1.6666666666666668E-3</v>
      </c>
      <c r="L20" s="51">
        <v>7.1000000000000004E-3</v>
      </c>
      <c r="M20" s="51">
        <v>1E-3</v>
      </c>
      <c r="N20" s="51">
        <v>3.3000000000000002E-2</v>
      </c>
      <c r="O20" s="101" t="s">
        <v>38</v>
      </c>
      <c r="P20" s="99">
        <v>0.3342</v>
      </c>
      <c r="Q20" s="99">
        <v>1.03</v>
      </c>
      <c r="R20" s="60">
        <f t="shared" si="0"/>
        <v>0.01</v>
      </c>
      <c r="S20" s="60">
        <f t="shared" si="1"/>
        <v>8.3333333333333332E-3</v>
      </c>
      <c r="T20" s="51">
        <v>0.2</v>
      </c>
      <c r="U20" s="99">
        <v>0.125</v>
      </c>
      <c r="V20" s="99">
        <f t="shared" si="4"/>
        <v>1.0416666666666666E-2</v>
      </c>
    </row>
    <row r="21" spans="1:22">
      <c r="A21" s="36">
        <v>18</v>
      </c>
      <c r="B21" s="36">
        <v>8356.5990200328652</v>
      </c>
      <c r="C21" s="91">
        <v>10000</v>
      </c>
      <c r="D21" s="94">
        <v>1.8</v>
      </c>
      <c r="E21" s="94">
        <v>40</v>
      </c>
      <c r="F21" s="99">
        <v>2.6200000000000001E-2</v>
      </c>
      <c r="G21" s="99">
        <v>4.6100000000000002E-2</v>
      </c>
      <c r="H21" s="99">
        <f t="shared" si="2"/>
        <v>3.8416666666666668E-3</v>
      </c>
      <c r="I21" s="51">
        <v>2E-3</v>
      </c>
      <c r="J21" s="51">
        <v>0.02</v>
      </c>
      <c r="K21" s="51">
        <f t="shared" si="3"/>
        <v>1.6666666666666668E-3</v>
      </c>
      <c r="L21" s="51">
        <v>7.1000000000000004E-3</v>
      </c>
      <c r="M21" s="51">
        <v>1E-3</v>
      </c>
      <c r="N21" s="51">
        <v>3.3000000000000002E-2</v>
      </c>
      <c r="O21" s="101" t="s">
        <v>38</v>
      </c>
      <c r="P21" s="99">
        <v>0.3342</v>
      </c>
      <c r="Q21" s="99">
        <v>1.03</v>
      </c>
      <c r="R21" s="60">
        <f t="shared" si="0"/>
        <v>0.01</v>
      </c>
      <c r="S21" s="60">
        <f t="shared" si="1"/>
        <v>8.3333333333333332E-3</v>
      </c>
      <c r="T21" s="51">
        <v>0.2</v>
      </c>
      <c r="U21" s="99">
        <v>0.125</v>
      </c>
      <c r="V21" s="99">
        <f t="shared" si="4"/>
        <v>1.0416666666666666E-2</v>
      </c>
    </row>
    <row r="22" spans="1:22">
      <c r="A22" s="36">
        <v>19</v>
      </c>
      <c r="B22" s="36">
        <v>8356.5990200328652</v>
      </c>
      <c r="C22" s="91">
        <v>10000</v>
      </c>
      <c r="D22" s="94">
        <v>1.8</v>
      </c>
      <c r="E22" s="94">
        <v>40</v>
      </c>
      <c r="F22" s="99">
        <v>2.6200000000000001E-2</v>
      </c>
      <c r="G22" s="99">
        <v>4.6100000000000002E-2</v>
      </c>
      <c r="H22" s="99">
        <f t="shared" si="2"/>
        <v>3.8416666666666668E-3</v>
      </c>
      <c r="I22" s="51">
        <v>2E-3</v>
      </c>
      <c r="J22" s="51">
        <v>0.02</v>
      </c>
      <c r="K22" s="51">
        <f t="shared" si="3"/>
        <v>1.6666666666666668E-3</v>
      </c>
      <c r="L22" s="51">
        <v>7.1000000000000004E-3</v>
      </c>
      <c r="M22" s="51">
        <v>1E-3</v>
      </c>
      <c r="N22" s="51">
        <v>3.3000000000000002E-2</v>
      </c>
      <c r="O22" s="101" t="s">
        <v>38</v>
      </c>
      <c r="P22" s="99">
        <v>0.3342</v>
      </c>
      <c r="Q22" s="99">
        <v>1.03</v>
      </c>
      <c r="R22" s="60">
        <f t="shared" si="0"/>
        <v>0.01</v>
      </c>
      <c r="S22" s="60">
        <f t="shared" si="1"/>
        <v>8.3333333333333332E-3</v>
      </c>
      <c r="T22" s="51">
        <v>0.2</v>
      </c>
      <c r="U22" s="99">
        <v>0.125</v>
      </c>
      <c r="V22" s="99">
        <f t="shared" si="4"/>
        <v>1.0416666666666666E-2</v>
      </c>
    </row>
  </sheetData>
  <mergeCells count="8">
    <mergeCell ref="T1:V1"/>
    <mergeCell ref="B1:B2"/>
    <mergeCell ref="C1:E1"/>
    <mergeCell ref="F1:H1"/>
    <mergeCell ref="J1:K1"/>
    <mergeCell ref="L1:N1"/>
    <mergeCell ref="O1:Q1"/>
    <mergeCell ref="R1:S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X73"/>
  <sheetViews>
    <sheetView topLeftCell="A19" zoomScale="84" zoomScaleNormal="84" workbookViewId="0">
      <selection activeCell="D32" sqref="D32"/>
    </sheetView>
  </sheetViews>
  <sheetFormatPr defaultRowHeight="12.75"/>
  <cols>
    <col min="1" max="1" width="3.140625" style="43" bestFit="1" customWidth="1"/>
    <col min="2" max="2" width="17.140625" style="43" customWidth="1"/>
    <col min="3" max="3" width="64.5703125" style="43" customWidth="1"/>
    <col min="4" max="4" width="22.140625" style="43" bestFit="1" customWidth="1"/>
    <col min="5" max="5" width="22.85546875" style="43" bestFit="1" customWidth="1"/>
    <col min="6" max="46" width="10.85546875" style="43" customWidth="1"/>
    <col min="47" max="47" width="9.7109375" style="43" bestFit="1" customWidth="1"/>
    <col min="48" max="16384" width="9.140625" style="43"/>
  </cols>
  <sheetData>
    <row r="1" spans="1:15" ht="19.5">
      <c r="A1" s="82"/>
      <c r="B1" s="44" t="s">
        <v>0</v>
      </c>
      <c r="C1" s="82"/>
      <c r="D1" s="45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</row>
    <row r="2" spans="1:15" ht="19.5">
      <c r="A2" s="82"/>
      <c r="B2" s="82"/>
      <c r="C2" s="45"/>
      <c r="D2" s="45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</row>
    <row r="3" spans="1:15" ht="21.75">
      <c r="A3" s="82"/>
      <c r="B3" s="82"/>
      <c r="C3" s="52" t="s">
        <v>1</v>
      </c>
      <c r="D3" s="63">
        <f>E60</f>
        <v>4038.6908398824062</v>
      </c>
      <c r="E3" s="83"/>
      <c r="F3" s="54"/>
      <c r="G3" s="45"/>
      <c r="H3" s="82"/>
      <c r="I3" s="82"/>
      <c r="J3" s="82"/>
      <c r="K3" s="82"/>
      <c r="L3" s="82"/>
      <c r="M3" s="82"/>
      <c r="N3" s="82"/>
      <c r="O3" s="82"/>
    </row>
    <row r="4" spans="1:15" ht="19.5">
      <c r="A4" s="82"/>
      <c r="B4" s="82"/>
      <c r="C4" s="46"/>
      <c r="D4" s="46"/>
      <c r="E4" s="83"/>
      <c r="F4" s="83"/>
      <c r="G4" s="45"/>
      <c r="H4" s="82"/>
      <c r="I4" s="82"/>
      <c r="J4" s="82"/>
      <c r="K4" s="82"/>
      <c r="L4" s="82"/>
      <c r="M4" s="82"/>
      <c r="N4" s="82"/>
      <c r="O4" s="82"/>
    </row>
    <row r="5" spans="1:15" ht="19.5">
      <c r="A5" s="82"/>
      <c r="B5" s="82"/>
      <c r="C5" s="46"/>
      <c r="D5" s="46"/>
      <c r="E5" s="83"/>
      <c r="F5" s="83"/>
      <c r="G5" s="45"/>
      <c r="H5" s="82"/>
      <c r="I5" s="82"/>
      <c r="J5" s="82"/>
      <c r="K5" s="82"/>
      <c r="L5" s="82"/>
      <c r="M5" s="82"/>
      <c r="N5" s="82"/>
      <c r="O5" s="82"/>
    </row>
    <row r="6" spans="1:15">
      <c r="A6" s="82"/>
      <c r="B6" s="82"/>
      <c r="C6" s="73" t="s">
        <v>2</v>
      </c>
      <c r="D6" s="73"/>
      <c r="E6" s="68" t="s">
        <v>3</v>
      </c>
      <c r="F6" s="70" t="s">
        <v>4</v>
      </c>
      <c r="G6" s="70"/>
      <c r="H6" s="70"/>
      <c r="I6" s="70"/>
      <c r="J6" s="82"/>
      <c r="K6" s="82"/>
      <c r="L6" s="82"/>
      <c r="M6" s="82"/>
      <c r="N6" s="82"/>
      <c r="O6" s="82"/>
    </row>
    <row r="7" spans="1:15" ht="15">
      <c r="A7" s="82"/>
      <c r="B7" s="82"/>
      <c r="C7" s="85" t="s">
        <v>5</v>
      </c>
      <c r="D7" s="85"/>
      <c r="E7" s="53" t="s">
        <v>6</v>
      </c>
      <c r="F7" s="72"/>
      <c r="G7" s="72"/>
      <c r="H7" s="72"/>
      <c r="I7" s="72"/>
      <c r="J7" s="82"/>
      <c r="K7" s="82"/>
      <c r="L7" s="82"/>
      <c r="M7" s="82"/>
      <c r="N7" s="82"/>
      <c r="O7" s="82"/>
    </row>
    <row r="8" spans="1:15" ht="15">
      <c r="A8" s="82"/>
      <c r="B8" s="82"/>
      <c r="C8" s="74" t="s">
        <v>7</v>
      </c>
      <c r="D8" s="74"/>
      <c r="E8" s="53" t="s">
        <v>6</v>
      </c>
      <c r="F8" s="72"/>
      <c r="G8" s="72"/>
      <c r="H8" s="72"/>
      <c r="I8" s="72"/>
      <c r="J8" s="82"/>
      <c r="K8" s="82"/>
      <c r="L8" s="82"/>
      <c r="M8" s="82"/>
      <c r="N8" s="82"/>
      <c r="O8" s="82"/>
    </row>
    <row r="9" spans="1:15" ht="15">
      <c r="A9" s="82"/>
      <c r="B9" s="82"/>
      <c r="C9" s="74" t="s">
        <v>8</v>
      </c>
      <c r="D9" s="74"/>
      <c r="E9" s="53" t="s">
        <v>9</v>
      </c>
      <c r="F9" s="72" t="s">
        <v>10</v>
      </c>
      <c r="G9" s="72"/>
      <c r="H9" s="72"/>
      <c r="I9" s="72"/>
      <c r="J9" s="82"/>
      <c r="K9" s="82"/>
      <c r="L9" s="82"/>
      <c r="M9" s="82"/>
      <c r="N9" s="82"/>
      <c r="O9" s="82"/>
    </row>
    <row r="10" spans="1:15" ht="15">
      <c r="A10" s="82"/>
      <c r="B10" s="82"/>
      <c r="C10" s="86" t="s">
        <v>11</v>
      </c>
      <c r="D10" s="86"/>
      <c r="E10" s="53" t="s">
        <v>6</v>
      </c>
      <c r="F10" s="72"/>
      <c r="G10" s="72"/>
      <c r="H10" s="72"/>
      <c r="I10" s="72"/>
      <c r="J10" s="82"/>
      <c r="K10" s="82"/>
      <c r="L10" s="82"/>
      <c r="M10" s="82"/>
      <c r="N10" s="82"/>
      <c r="O10" s="82"/>
    </row>
    <row r="11" spans="1:15" ht="15">
      <c r="A11" s="82"/>
      <c r="B11" s="82"/>
      <c r="C11" s="87" t="s">
        <v>12</v>
      </c>
      <c r="D11" s="87"/>
      <c r="E11" s="53" t="s">
        <v>9</v>
      </c>
      <c r="F11" s="72" t="s">
        <v>13</v>
      </c>
      <c r="G11" s="72"/>
      <c r="H11" s="72"/>
      <c r="I11" s="72"/>
      <c r="J11" s="82"/>
      <c r="K11" s="82"/>
      <c r="L11" s="82"/>
      <c r="M11" s="82"/>
      <c r="N11" s="82"/>
      <c r="O11" s="82"/>
    </row>
    <row r="12" spans="1:15" ht="19.5">
      <c r="A12" s="82"/>
      <c r="B12" s="82"/>
      <c r="C12" s="46"/>
      <c r="D12" s="46"/>
      <c r="E12" s="83"/>
      <c r="F12" s="83"/>
      <c r="G12" s="45"/>
      <c r="H12" s="82"/>
      <c r="I12" s="82"/>
      <c r="J12" s="82"/>
      <c r="K12" s="82"/>
      <c r="L12" s="82"/>
      <c r="M12" s="82"/>
      <c r="N12" s="82"/>
      <c r="O12" s="82"/>
    </row>
    <row r="13" spans="1:15" ht="19.5">
      <c r="A13" s="82"/>
      <c r="B13" s="82"/>
      <c r="C13" s="46" t="s">
        <v>79</v>
      </c>
      <c r="D13" s="46">
        <f>Data_TABLE!A1</f>
        <v>1</v>
      </c>
      <c r="E13" s="83"/>
      <c r="F13" s="83"/>
      <c r="G13" s="45"/>
      <c r="H13" s="82"/>
      <c r="I13" s="82"/>
      <c r="J13" s="82"/>
      <c r="K13" s="82"/>
      <c r="L13" s="82"/>
      <c r="M13" s="82"/>
      <c r="N13" s="82"/>
      <c r="O13" s="82"/>
    </row>
    <row r="14" spans="1:15">
      <c r="A14" s="82"/>
      <c r="B14" s="82"/>
      <c r="C14" s="69" t="s">
        <v>14</v>
      </c>
      <c r="D14" s="69" t="s">
        <v>15</v>
      </c>
      <c r="E14" s="69" t="s">
        <v>3</v>
      </c>
      <c r="F14" s="71" t="s">
        <v>4</v>
      </c>
      <c r="G14" s="71"/>
      <c r="H14" s="71"/>
      <c r="I14" s="71"/>
      <c r="J14" s="82"/>
      <c r="K14" s="88"/>
      <c r="L14" s="82"/>
      <c r="M14" s="82"/>
      <c r="N14" s="88"/>
      <c r="O14" s="82"/>
    </row>
    <row r="15" spans="1:15" ht="15">
      <c r="A15" s="82">
        <v>3</v>
      </c>
      <c r="B15" s="89" t="s">
        <v>16</v>
      </c>
      <c r="C15" s="90" t="s">
        <v>17</v>
      </c>
      <c r="D15" s="91">
        <f>VLOOKUP($D$13,Data_TABLE!$A$4:$V$22,'Pricing SPV'!A15,FALSE)</f>
        <v>5000</v>
      </c>
      <c r="E15" s="53" t="s">
        <v>9</v>
      </c>
      <c r="F15" s="72" t="s">
        <v>18</v>
      </c>
      <c r="G15" s="72"/>
      <c r="H15" s="72"/>
      <c r="I15" s="72"/>
      <c r="J15" s="84"/>
      <c r="K15" s="47"/>
      <c r="L15" s="47"/>
      <c r="M15" s="82"/>
      <c r="N15" s="92"/>
      <c r="O15" s="92"/>
    </row>
    <row r="16" spans="1:15" ht="15">
      <c r="A16" s="82">
        <v>4</v>
      </c>
      <c r="B16" s="93"/>
      <c r="C16" s="90" t="s">
        <v>19</v>
      </c>
      <c r="D16" s="91">
        <f>VLOOKUP($D$13,Data_TABLE!$A$4:$V$22,'Pricing SPV'!A16,FALSE)</f>
        <v>1.8</v>
      </c>
      <c r="E16" s="53" t="s">
        <v>9</v>
      </c>
      <c r="F16" s="72" t="s">
        <v>18</v>
      </c>
      <c r="G16" s="72"/>
      <c r="H16" s="72"/>
      <c r="I16" s="72"/>
      <c r="J16" s="84"/>
      <c r="K16" s="47"/>
      <c r="L16" s="47"/>
      <c r="M16" s="82"/>
      <c r="N16" s="92"/>
      <c r="O16" s="92"/>
    </row>
    <row r="17" spans="1:15" ht="15">
      <c r="A17" s="82">
        <v>5</v>
      </c>
      <c r="B17" s="95"/>
      <c r="C17" s="90" t="s">
        <v>20</v>
      </c>
      <c r="D17" s="91">
        <f>VLOOKUP($D$13,Data_TABLE!$A$4:$V$22,'Pricing SPV'!A17,FALSE)</f>
        <v>40</v>
      </c>
      <c r="E17" s="53" t="s">
        <v>9</v>
      </c>
      <c r="F17" s="72" t="s">
        <v>18</v>
      </c>
      <c r="G17" s="72"/>
      <c r="H17" s="72"/>
      <c r="I17" s="72"/>
      <c r="J17" s="82"/>
      <c r="K17" s="48"/>
      <c r="L17" s="49"/>
      <c r="M17" s="82"/>
      <c r="N17" s="96"/>
      <c r="O17" s="97"/>
    </row>
    <row r="18" spans="1:15" ht="15">
      <c r="A18" s="82">
        <v>6</v>
      </c>
      <c r="B18" s="98" t="s">
        <v>21</v>
      </c>
      <c r="C18" s="90" t="s">
        <v>22</v>
      </c>
      <c r="D18" s="163">
        <f>VLOOKUP($D$13,Data_TABLE!$A$4:$V$22,'Pricing SPV'!A18,FALSE)</f>
        <v>2.6200000000000001E-2</v>
      </c>
      <c r="E18" s="53" t="s">
        <v>9</v>
      </c>
      <c r="F18" s="72" t="s">
        <v>23</v>
      </c>
      <c r="G18" s="72"/>
      <c r="H18" s="72"/>
      <c r="I18" s="72"/>
      <c r="J18" s="82"/>
      <c r="K18" s="48"/>
      <c r="L18" s="49"/>
      <c r="M18" s="82"/>
      <c r="N18" s="96"/>
      <c r="O18" s="97"/>
    </row>
    <row r="19" spans="1:15" ht="15">
      <c r="A19" s="82">
        <v>7</v>
      </c>
      <c r="B19" s="98"/>
      <c r="C19" s="90" t="s">
        <v>24</v>
      </c>
      <c r="D19" s="163">
        <f>VLOOKUP($D$13,Data_TABLE!$A$4:$V$22,'Pricing SPV'!A19,FALSE)</f>
        <v>4.6100000000000002E-2</v>
      </c>
      <c r="E19" s="53" t="s">
        <v>9</v>
      </c>
      <c r="F19" s="72" t="s">
        <v>23</v>
      </c>
      <c r="G19" s="72"/>
      <c r="H19" s="72"/>
      <c r="I19" s="72"/>
      <c r="J19" s="82"/>
      <c r="K19" s="48"/>
      <c r="L19" s="49"/>
      <c r="M19" s="82"/>
      <c r="N19" s="96"/>
      <c r="O19" s="97"/>
    </row>
    <row r="20" spans="1:15" ht="15">
      <c r="A20" s="82">
        <v>8</v>
      </c>
      <c r="B20" s="98"/>
      <c r="C20" s="90" t="s">
        <v>25</v>
      </c>
      <c r="D20" s="163">
        <f>VLOOKUP($D$13,Data_TABLE!$A$4:$V$22,'Pricing SPV'!A20,FALSE)</f>
        <v>3.8416666666666668E-3</v>
      </c>
      <c r="E20" s="53" t="s">
        <v>9</v>
      </c>
      <c r="F20" s="72" t="s">
        <v>23</v>
      </c>
      <c r="G20" s="72"/>
      <c r="H20" s="72"/>
      <c r="I20" s="72"/>
      <c r="J20" s="82"/>
      <c r="K20" s="48"/>
      <c r="L20" s="49"/>
      <c r="M20" s="82"/>
      <c r="N20" s="96"/>
      <c r="O20" s="97"/>
    </row>
    <row r="21" spans="1:15" ht="15">
      <c r="A21" s="82">
        <v>9</v>
      </c>
      <c r="B21" s="100" t="s">
        <v>26</v>
      </c>
      <c r="C21" s="90" t="s">
        <v>27</v>
      </c>
      <c r="D21" s="163">
        <f>VLOOKUP($D$13,Data_TABLE!$A$4:$V$22,'Pricing SPV'!A21,FALSE)</f>
        <v>0</v>
      </c>
      <c r="E21" s="53" t="s">
        <v>6</v>
      </c>
      <c r="F21" s="72" t="s">
        <v>28</v>
      </c>
      <c r="G21" s="72"/>
      <c r="H21" s="72"/>
      <c r="I21" s="72"/>
      <c r="J21" s="82"/>
      <c r="K21" s="48"/>
      <c r="L21" s="49"/>
      <c r="M21" s="82"/>
      <c r="N21" s="96"/>
      <c r="O21" s="97"/>
    </row>
    <row r="22" spans="1:15" ht="15">
      <c r="A22" s="82">
        <v>10</v>
      </c>
      <c r="B22" s="98" t="s">
        <v>29</v>
      </c>
      <c r="C22" s="90" t="s">
        <v>30</v>
      </c>
      <c r="D22" s="163">
        <f>VLOOKUP($D$13,Data_TABLE!$A$4:$V$22,'Pricing SPV'!A22,FALSE)</f>
        <v>0.02</v>
      </c>
      <c r="E22" s="53" t="s">
        <v>6</v>
      </c>
      <c r="F22" s="72" t="s">
        <v>28</v>
      </c>
      <c r="G22" s="72"/>
      <c r="H22" s="72"/>
      <c r="I22" s="72"/>
      <c r="J22" s="82"/>
      <c r="K22" s="48"/>
      <c r="L22" s="49"/>
      <c r="M22" s="82"/>
      <c r="N22" s="96"/>
      <c r="O22" s="97"/>
    </row>
    <row r="23" spans="1:15" ht="15">
      <c r="A23" s="82">
        <v>11</v>
      </c>
      <c r="B23" s="98"/>
      <c r="C23" s="90" t="s">
        <v>31</v>
      </c>
      <c r="D23" s="163">
        <f>VLOOKUP($D$13,Data_TABLE!$A$4:$V$22,'Pricing SPV'!A23,FALSE)</f>
        <v>1.6666666666666668E-3</v>
      </c>
      <c r="E23" s="53" t="s">
        <v>6</v>
      </c>
      <c r="F23" s="72" t="s">
        <v>28</v>
      </c>
      <c r="G23" s="72"/>
      <c r="H23" s="72"/>
      <c r="I23" s="72"/>
      <c r="J23" s="82"/>
      <c r="K23" s="48"/>
      <c r="L23" s="49"/>
      <c r="M23" s="82"/>
      <c r="N23" s="96"/>
      <c r="O23" s="97"/>
    </row>
    <row r="24" spans="1:15" ht="15">
      <c r="A24" s="82">
        <v>12</v>
      </c>
      <c r="B24" s="89" t="s">
        <v>32</v>
      </c>
      <c r="C24" s="90" t="s">
        <v>33</v>
      </c>
      <c r="D24" s="163">
        <f>VLOOKUP($D$13,Data_TABLE!$A$4:$V$22,'Pricing SPV'!A24,FALSE)</f>
        <v>7.1000000000000004E-3</v>
      </c>
      <c r="E24" s="53" t="s">
        <v>6</v>
      </c>
      <c r="F24" s="72" t="s">
        <v>28</v>
      </c>
      <c r="G24" s="72"/>
      <c r="H24" s="72"/>
      <c r="I24" s="72"/>
      <c r="J24" s="82"/>
      <c r="K24" s="48"/>
      <c r="L24" s="49"/>
      <c r="M24" s="82"/>
      <c r="N24" s="96"/>
      <c r="O24" s="97"/>
    </row>
    <row r="25" spans="1:15" ht="15">
      <c r="A25" s="82">
        <v>13</v>
      </c>
      <c r="B25" s="93"/>
      <c r="C25" s="90" t="s">
        <v>34</v>
      </c>
      <c r="D25" s="163">
        <f>VLOOKUP($D$13,Data_TABLE!$A$4:$V$22,'Pricing SPV'!A25,FALSE)</f>
        <v>1E-3</v>
      </c>
      <c r="E25" s="53" t="s">
        <v>6</v>
      </c>
      <c r="F25" s="72" t="s">
        <v>28</v>
      </c>
      <c r="G25" s="72"/>
      <c r="H25" s="72"/>
      <c r="I25" s="72"/>
      <c r="J25" s="82"/>
      <c r="K25" s="48"/>
      <c r="L25" s="49"/>
      <c r="M25" s="82"/>
      <c r="N25" s="96"/>
      <c r="O25" s="97"/>
    </row>
    <row r="26" spans="1:15" ht="15">
      <c r="A26" s="82">
        <v>14</v>
      </c>
      <c r="B26" s="95"/>
      <c r="C26" s="90" t="s">
        <v>35</v>
      </c>
      <c r="D26" s="163">
        <f>VLOOKUP($D$13,Data_TABLE!$A$4:$V$22,'Pricing SPV'!A26,FALSE)</f>
        <v>3.3000000000000002E-2</v>
      </c>
      <c r="E26" s="53" t="s">
        <v>6</v>
      </c>
      <c r="F26" s="72" t="s">
        <v>28</v>
      </c>
      <c r="G26" s="72"/>
      <c r="H26" s="72"/>
      <c r="I26" s="72"/>
      <c r="J26" s="82"/>
      <c r="K26" s="48"/>
      <c r="L26" s="49"/>
      <c r="M26" s="82"/>
      <c r="N26" s="96"/>
      <c r="O26" s="97"/>
    </row>
    <row r="27" spans="1:15" ht="15">
      <c r="A27" s="82">
        <v>15</v>
      </c>
      <c r="B27" s="98" t="s">
        <v>36</v>
      </c>
      <c r="C27" s="90" t="s">
        <v>37</v>
      </c>
      <c r="D27" s="91" t="str">
        <f>VLOOKUP($D$13,Data_TABLE!$A$4:$V$22,'Pricing SPV'!A27,FALSE)</f>
        <v>Please refer to PD sheet</v>
      </c>
      <c r="E27" s="53" t="s">
        <v>9</v>
      </c>
      <c r="F27" s="72" t="s">
        <v>39</v>
      </c>
      <c r="G27" s="72"/>
      <c r="H27" s="72"/>
      <c r="I27" s="72"/>
      <c r="J27" s="82"/>
      <c r="K27" s="48"/>
      <c r="L27" s="49"/>
      <c r="M27" s="82"/>
      <c r="N27" s="96"/>
      <c r="O27" s="97"/>
    </row>
    <row r="28" spans="1:15" ht="15">
      <c r="A28" s="82">
        <v>16</v>
      </c>
      <c r="B28" s="98"/>
      <c r="C28" s="90" t="s">
        <v>40</v>
      </c>
      <c r="D28" s="164">
        <f>VLOOKUP($D$13,Data_TABLE!$A$4:$V$22,'Pricing SPV'!A28,FALSE)</f>
        <v>0.3342</v>
      </c>
      <c r="E28" s="53" t="s">
        <v>9</v>
      </c>
      <c r="F28" s="72" t="s">
        <v>39</v>
      </c>
      <c r="G28" s="72"/>
      <c r="H28" s="72"/>
      <c r="I28" s="72"/>
      <c r="J28" s="82"/>
      <c r="K28" s="48"/>
      <c r="L28" s="49"/>
      <c r="M28" s="82"/>
      <c r="N28" s="96"/>
      <c r="O28" s="97"/>
    </row>
    <row r="29" spans="1:15" ht="15">
      <c r="A29" s="82">
        <v>17</v>
      </c>
      <c r="B29" s="98"/>
      <c r="C29" s="90" t="s">
        <v>41</v>
      </c>
      <c r="D29" s="164">
        <f>VLOOKUP($D$13,Data_TABLE!$A$4:$V$22,'Pricing SPV'!A29,FALSE)</f>
        <v>1.03</v>
      </c>
      <c r="E29" s="53" t="s">
        <v>9</v>
      </c>
      <c r="F29" s="72" t="s">
        <v>39</v>
      </c>
      <c r="G29" s="72"/>
      <c r="H29" s="72"/>
      <c r="I29" s="72"/>
      <c r="J29" s="82"/>
      <c r="K29" s="48"/>
      <c r="L29" s="49"/>
      <c r="M29" s="82"/>
      <c r="N29" s="96"/>
      <c r="O29" s="97"/>
    </row>
    <row r="30" spans="1:15" ht="15">
      <c r="A30" s="82">
        <v>18</v>
      </c>
      <c r="B30" s="89" t="s">
        <v>42</v>
      </c>
      <c r="C30" s="59" t="s">
        <v>43</v>
      </c>
      <c r="D30" s="163">
        <f>VLOOKUP($D$13,Data_TABLE!$A$4:$V$22,'Pricing SPV'!A30,FALSE)</f>
        <v>0.01</v>
      </c>
      <c r="E30" s="53" t="s">
        <v>9</v>
      </c>
      <c r="F30" s="72" t="s">
        <v>39</v>
      </c>
      <c r="G30" s="72"/>
      <c r="H30" s="72"/>
      <c r="I30" s="72"/>
      <c r="J30" s="82"/>
      <c r="K30" s="48"/>
      <c r="L30" s="49"/>
      <c r="M30" s="82"/>
      <c r="N30" s="96"/>
      <c r="O30" s="97"/>
    </row>
    <row r="31" spans="1:15" ht="15">
      <c r="A31" s="82">
        <v>19</v>
      </c>
      <c r="B31" s="95"/>
      <c r="C31" s="59" t="s">
        <v>44</v>
      </c>
      <c r="D31" s="163">
        <f>VLOOKUP($D$13,Data_TABLE!$A$4:$V$22,'Pricing SPV'!A31,FALSE)</f>
        <v>8.3333333333333332E-3</v>
      </c>
      <c r="E31" s="53" t="s">
        <v>9</v>
      </c>
      <c r="F31" s="72" t="s">
        <v>39</v>
      </c>
      <c r="G31" s="72"/>
      <c r="H31" s="72"/>
      <c r="I31" s="72"/>
      <c r="J31" s="82"/>
      <c r="K31" s="48"/>
      <c r="L31" s="49"/>
      <c r="M31" s="82"/>
      <c r="N31" s="96"/>
      <c r="O31" s="97"/>
    </row>
    <row r="32" spans="1:15" ht="15">
      <c r="A32" s="82">
        <v>20</v>
      </c>
      <c r="B32" s="82"/>
      <c r="C32" s="90" t="s">
        <v>45</v>
      </c>
      <c r="D32" s="163">
        <f>VLOOKUP($D$13,Data_TABLE!$A$4:$V$22,'Pricing SPV'!A32,FALSE)</f>
        <v>0.2</v>
      </c>
      <c r="E32" s="53" t="s">
        <v>6</v>
      </c>
      <c r="F32" s="72" t="s">
        <v>28</v>
      </c>
      <c r="G32" s="72"/>
      <c r="H32" s="72"/>
      <c r="I32" s="72"/>
      <c r="J32" s="82"/>
      <c r="K32" s="50"/>
      <c r="L32" s="49"/>
      <c r="M32" s="82"/>
      <c r="N32" s="82"/>
      <c r="O32" s="82"/>
    </row>
    <row r="33" spans="1:102" ht="15">
      <c r="A33" s="82">
        <v>21</v>
      </c>
      <c r="B33" s="82"/>
      <c r="C33" s="90" t="s">
        <v>46</v>
      </c>
      <c r="D33" s="163">
        <f>VLOOKUP($D$13,Data_TABLE!$A$4:$V$22,'Pricing SPV'!A33,FALSE)</f>
        <v>0.125</v>
      </c>
      <c r="E33" s="53" t="s">
        <v>9</v>
      </c>
      <c r="F33" s="72" t="s">
        <v>47</v>
      </c>
      <c r="G33" s="72"/>
      <c r="H33" s="72"/>
      <c r="I33" s="7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  <c r="CW33" s="82"/>
      <c r="CX33" s="82"/>
    </row>
    <row r="34" spans="1:102" ht="15">
      <c r="A34" s="82">
        <v>22</v>
      </c>
      <c r="B34" s="82"/>
      <c r="C34" s="90" t="s">
        <v>48</v>
      </c>
      <c r="D34" s="163">
        <f>VLOOKUP($D$13,Data_TABLE!$A$4:$V$22,'Pricing SPV'!A34,FALSE)</f>
        <v>1.0416666666666666E-2</v>
      </c>
      <c r="E34" s="53" t="s">
        <v>9</v>
      </c>
      <c r="F34" s="72" t="s">
        <v>47</v>
      </c>
      <c r="G34" s="72"/>
      <c r="H34" s="72"/>
      <c r="I34" s="7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  <c r="CW34" s="82"/>
      <c r="CX34" s="82"/>
    </row>
    <row r="35" spans="1:102" ht="21.75">
      <c r="A35" s="82"/>
      <c r="B35" s="82"/>
      <c r="C35"/>
      <c r="D35"/>
      <c r="E35" s="102"/>
      <c r="F35" s="102"/>
      <c r="G35" s="103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</row>
    <row r="36" spans="1:102">
      <c r="A36" s="82"/>
      <c r="B36" s="82"/>
      <c r="C36" s="104"/>
      <c r="D36" s="104"/>
      <c r="E36" s="105"/>
      <c r="F36" s="105"/>
      <c r="G36" s="103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  <c r="CW36" s="82"/>
      <c r="CX36" s="82"/>
    </row>
    <row r="37" spans="1:102">
      <c r="A37" s="82"/>
      <c r="B37" s="82"/>
      <c r="C37" s="106"/>
      <c r="D37" s="106"/>
      <c r="E37" s="105"/>
      <c r="F37" s="105"/>
      <c r="G37" s="103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  <c r="CW37" s="82"/>
      <c r="CX37" s="82"/>
    </row>
    <row r="38" spans="1:102">
      <c r="A38" s="82"/>
      <c r="B38" s="82"/>
      <c r="C38" s="103"/>
      <c r="D38" s="103"/>
      <c r="E38" s="105"/>
      <c r="F38" s="107" t="s">
        <v>82</v>
      </c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9"/>
    </row>
    <row r="39" spans="1:102">
      <c r="A39" s="82"/>
      <c r="B39" s="82"/>
      <c r="C39" s="110" t="s">
        <v>50</v>
      </c>
      <c r="D39" s="110" t="s">
        <v>51</v>
      </c>
      <c r="E39" s="111" t="s">
        <v>52</v>
      </c>
      <c r="F39" s="112">
        <v>0</v>
      </c>
      <c r="G39" s="113">
        <f t="shared" ref="G39:AU39" si="0">IF(OR(IF(F39&lt;=$D$17,F39+1,$D$17)=$D$17+1,F39=""),"",IF(F39&lt;$D$17+1,F39+1,$D$17+1))</f>
        <v>1</v>
      </c>
      <c r="H39" s="113">
        <f t="shared" si="0"/>
        <v>2</v>
      </c>
      <c r="I39" s="113">
        <f t="shared" si="0"/>
        <v>3</v>
      </c>
      <c r="J39" s="113">
        <f t="shared" si="0"/>
        <v>4</v>
      </c>
      <c r="K39" s="113">
        <f t="shared" si="0"/>
        <v>5</v>
      </c>
      <c r="L39" s="113">
        <f t="shared" si="0"/>
        <v>6</v>
      </c>
      <c r="M39" s="113">
        <f t="shared" si="0"/>
        <v>7</v>
      </c>
      <c r="N39" s="113">
        <f t="shared" si="0"/>
        <v>8</v>
      </c>
      <c r="O39" s="113">
        <f t="shared" si="0"/>
        <v>9</v>
      </c>
      <c r="P39" s="113">
        <f t="shared" si="0"/>
        <v>10</v>
      </c>
      <c r="Q39" s="113">
        <f t="shared" si="0"/>
        <v>11</v>
      </c>
      <c r="R39" s="113">
        <f t="shared" si="0"/>
        <v>12</v>
      </c>
      <c r="S39" s="113">
        <f t="shared" si="0"/>
        <v>13</v>
      </c>
      <c r="T39" s="113">
        <f t="shared" si="0"/>
        <v>14</v>
      </c>
      <c r="U39" s="113">
        <f t="shared" si="0"/>
        <v>15</v>
      </c>
      <c r="V39" s="113">
        <f t="shared" si="0"/>
        <v>16</v>
      </c>
      <c r="W39" s="113">
        <f t="shared" si="0"/>
        <v>17</v>
      </c>
      <c r="X39" s="113">
        <f t="shared" si="0"/>
        <v>18</v>
      </c>
      <c r="Y39" s="113">
        <f t="shared" si="0"/>
        <v>19</v>
      </c>
      <c r="Z39" s="113">
        <f t="shared" si="0"/>
        <v>20</v>
      </c>
      <c r="AA39" s="113">
        <f t="shared" si="0"/>
        <v>21</v>
      </c>
      <c r="AB39" s="113">
        <f t="shared" si="0"/>
        <v>22</v>
      </c>
      <c r="AC39" s="113">
        <f t="shared" si="0"/>
        <v>23</v>
      </c>
      <c r="AD39" s="113">
        <f t="shared" si="0"/>
        <v>24</v>
      </c>
      <c r="AE39" s="113">
        <f t="shared" si="0"/>
        <v>25</v>
      </c>
      <c r="AF39" s="113">
        <f t="shared" si="0"/>
        <v>26</v>
      </c>
      <c r="AG39" s="113">
        <f t="shared" si="0"/>
        <v>27</v>
      </c>
      <c r="AH39" s="113">
        <f t="shared" si="0"/>
        <v>28</v>
      </c>
      <c r="AI39" s="113">
        <f t="shared" si="0"/>
        <v>29</v>
      </c>
      <c r="AJ39" s="113">
        <f t="shared" si="0"/>
        <v>30</v>
      </c>
      <c r="AK39" s="113">
        <f t="shared" si="0"/>
        <v>31</v>
      </c>
      <c r="AL39" s="113">
        <f t="shared" si="0"/>
        <v>32</v>
      </c>
      <c r="AM39" s="113">
        <f t="shared" si="0"/>
        <v>33</v>
      </c>
      <c r="AN39" s="113">
        <f t="shared" si="0"/>
        <v>34</v>
      </c>
      <c r="AO39" s="113">
        <f t="shared" si="0"/>
        <v>35</v>
      </c>
      <c r="AP39" s="113">
        <f t="shared" si="0"/>
        <v>36</v>
      </c>
      <c r="AQ39" s="113">
        <f t="shared" si="0"/>
        <v>37</v>
      </c>
      <c r="AR39" s="113">
        <f t="shared" si="0"/>
        <v>38</v>
      </c>
      <c r="AS39" s="113">
        <f t="shared" si="0"/>
        <v>39</v>
      </c>
      <c r="AT39" s="113">
        <f t="shared" si="0"/>
        <v>40</v>
      </c>
      <c r="AU39" s="113" t="str">
        <f t="shared" si="0"/>
        <v/>
      </c>
      <c r="AV39" s="113" t="str">
        <f>IF(OR(IF(AU39&lt;=$D$17,AU39+1,$D$17)=$D$17+1,AU39=""),"",IF(AU39&lt;$D$17+1,AU39+1,$D$17+1))</f>
        <v/>
      </c>
      <c r="AW39" s="113" t="str">
        <f t="shared" ref="AW39:CX39" si="1">IF(OR(IF(AV39&lt;=$D$17,AV39+1,$D$17)=$D$17+1,AV39=""),"",IF(AV39&lt;$D$17+1,AV39+1,$D$17+1))</f>
        <v/>
      </c>
      <c r="AX39" s="113" t="str">
        <f t="shared" si="1"/>
        <v/>
      </c>
      <c r="AY39" s="113" t="str">
        <f t="shared" si="1"/>
        <v/>
      </c>
      <c r="AZ39" s="113" t="str">
        <f t="shared" si="1"/>
        <v/>
      </c>
      <c r="BA39" s="113" t="str">
        <f t="shared" si="1"/>
        <v/>
      </c>
      <c r="BB39" s="113" t="str">
        <f t="shared" si="1"/>
        <v/>
      </c>
      <c r="BC39" s="113" t="str">
        <f t="shared" si="1"/>
        <v/>
      </c>
      <c r="BD39" s="113" t="str">
        <f t="shared" si="1"/>
        <v/>
      </c>
      <c r="BE39" s="113" t="str">
        <f t="shared" si="1"/>
        <v/>
      </c>
      <c r="BF39" s="113" t="str">
        <f t="shared" si="1"/>
        <v/>
      </c>
      <c r="BG39" s="113" t="str">
        <f t="shared" si="1"/>
        <v/>
      </c>
      <c r="BH39" s="113" t="str">
        <f t="shared" si="1"/>
        <v/>
      </c>
      <c r="BI39" s="113" t="str">
        <f t="shared" si="1"/>
        <v/>
      </c>
      <c r="BJ39" s="113" t="str">
        <f t="shared" si="1"/>
        <v/>
      </c>
      <c r="BK39" s="113" t="str">
        <f t="shared" si="1"/>
        <v/>
      </c>
      <c r="BL39" s="113" t="str">
        <f t="shared" si="1"/>
        <v/>
      </c>
      <c r="BM39" s="113" t="str">
        <f t="shared" si="1"/>
        <v/>
      </c>
      <c r="BN39" s="113" t="str">
        <f t="shared" si="1"/>
        <v/>
      </c>
      <c r="BO39" s="113" t="str">
        <f t="shared" si="1"/>
        <v/>
      </c>
      <c r="BP39" s="113" t="str">
        <f t="shared" si="1"/>
        <v/>
      </c>
      <c r="BQ39" s="113" t="str">
        <f t="shared" si="1"/>
        <v/>
      </c>
      <c r="BR39" s="113" t="str">
        <f t="shared" si="1"/>
        <v/>
      </c>
      <c r="BS39" s="113" t="str">
        <f t="shared" si="1"/>
        <v/>
      </c>
      <c r="BT39" s="113" t="str">
        <f t="shared" si="1"/>
        <v/>
      </c>
      <c r="BU39" s="113" t="str">
        <f t="shared" si="1"/>
        <v/>
      </c>
      <c r="BV39" s="113" t="str">
        <f t="shared" si="1"/>
        <v/>
      </c>
      <c r="BW39" s="113" t="str">
        <f t="shared" si="1"/>
        <v/>
      </c>
      <c r="BX39" s="113" t="str">
        <f t="shared" si="1"/>
        <v/>
      </c>
      <c r="BY39" s="113" t="str">
        <f t="shared" si="1"/>
        <v/>
      </c>
      <c r="BZ39" s="113" t="str">
        <f t="shared" si="1"/>
        <v/>
      </c>
      <c r="CA39" s="113" t="str">
        <f t="shared" si="1"/>
        <v/>
      </c>
      <c r="CB39" s="113" t="str">
        <f t="shared" si="1"/>
        <v/>
      </c>
      <c r="CC39" s="113" t="str">
        <f t="shared" si="1"/>
        <v/>
      </c>
      <c r="CD39" s="113" t="str">
        <f t="shared" si="1"/>
        <v/>
      </c>
      <c r="CE39" s="113" t="str">
        <f t="shared" si="1"/>
        <v/>
      </c>
      <c r="CF39" s="113" t="str">
        <f t="shared" si="1"/>
        <v/>
      </c>
      <c r="CG39" s="113" t="str">
        <f t="shared" si="1"/>
        <v/>
      </c>
      <c r="CH39" s="113" t="str">
        <f t="shared" si="1"/>
        <v/>
      </c>
      <c r="CI39" s="113" t="str">
        <f t="shared" si="1"/>
        <v/>
      </c>
      <c r="CJ39" s="113" t="str">
        <f t="shared" si="1"/>
        <v/>
      </c>
      <c r="CK39" s="113" t="str">
        <f t="shared" si="1"/>
        <v/>
      </c>
      <c r="CL39" s="113" t="str">
        <f t="shared" si="1"/>
        <v/>
      </c>
      <c r="CM39" s="113" t="str">
        <f t="shared" si="1"/>
        <v/>
      </c>
      <c r="CN39" s="113" t="str">
        <f t="shared" si="1"/>
        <v/>
      </c>
      <c r="CO39" s="113" t="str">
        <f t="shared" si="1"/>
        <v/>
      </c>
      <c r="CP39" s="113" t="str">
        <f t="shared" si="1"/>
        <v/>
      </c>
      <c r="CQ39" s="113" t="str">
        <f t="shared" si="1"/>
        <v/>
      </c>
      <c r="CR39" s="113" t="str">
        <f t="shared" si="1"/>
        <v/>
      </c>
      <c r="CS39" s="113" t="str">
        <f t="shared" si="1"/>
        <v/>
      </c>
      <c r="CT39" s="113" t="str">
        <f t="shared" si="1"/>
        <v/>
      </c>
      <c r="CU39" s="113" t="str">
        <f t="shared" si="1"/>
        <v/>
      </c>
      <c r="CV39" s="113" t="str">
        <f t="shared" si="1"/>
        <v/>
      </c>
      <c r="CW39" s="113" t="str">
        <f t="shared" si="1"/>
        <v/>
      </c>
      <c r="CX39" s="114" t="str">
        <f t="shared" si="1"/>
        <v/>
      </c>
    </row>
    <row r="40" spans="1:102">
      <c r="A40" s="82"/>
      <c r="B40" s="89" t="s">
        <v>53</v>
      </c>
      <c r="C40" s="55" t="s">
        <v>54</v>
      </c>
      <c r="D40" s="55"/>
      <c r="E40" s="115"/>
      <c r="F40" s="116"/>
      <c r="G40" s="117">
        <f>D15</f>
        <v>5000</v>
      </c>
      <c r="H40" s="117">
        <f>IF(OR(H39&gt;$D$17,H39=""),"",G40-G41)</f>
        <v>4884.1188100218615</v>
      </c>
      <c r="I40" s="117">
        <f t="shared" ref="I40:BT40" si="2">IF(OR(I39&gt;$D$17,I39=""),"",H40-H41)</f>
        <v>4767.7924431388901</v>
      </c>
      <c r="J40" s="117">
        <f t="shared" si="2"/>
        <v>4651.01918912981</v>
      </c>
      <c r="K40" s="117">
        <f t="shared" si="2"/>
        <v>4533.7973312032445</v>
      </c>
      <c r="L40" s="117">
        <f t="shared" si="2"/>
        <v>4416.1251459724781</v>
      </c>
      <c r="M40" s="117">
        <f t="shared" si="2"/>
        <v>4298.0009034301165</v>
      </c>
      <c r="N40" s="117">
        <f t="shared" si="2"/>
        <v>4179.422866922655</v>
      </c>
      <c r="O40" s="117">
        <f t="shared" si="2"/>
        <v>4060.3892931249443</v>
      </c>
      <c r="P40" s="117">
        <f t="shared" si="2"/>
        <v>3940.8984320145605</v>
      </c>
      <c r="Q40" s="117">
        <f t="shared" si="2"/>
        <v>3820.9485268460776</v>
      </c>
      <c r="R40" s="117">
        <f t="shared" si="2"/>
        <v>3700.537814125239</v>
      </c>
      <c r="S40" s="117">
        <f t="shared" si="2"/>
        <v>3579.6645235830315</v>
      </c>
      <c r="T40" s="117">
        <f t="shared" si="2"/>
        <v>3458.3268781496577</v>
      </c>
      <c r="U40" s="117">
        <f t="shared" si="2"/>
        <v>3336.5230939284106</v>
      </c>
      <c r="V40" s="117">
        <f t="shared" si="2"/>
        <v>3214.2513801694467</v>
      </c>
      <c r="W40" s="117">
        <f t="shared" si="2"/>
        <v>3091.509939243459</v>
      </c>
      <c r="X40" s="117">
        <f t="shared" si="2"/>
        <v>2968.2969666152471</v>
      </c>
      <c r="Y40" s="117">
        <f t="shared" si="2"/>
        <v>2844.6106508171888</v>
      </c>
      <c r="Z40" s="117">
        <f t="shared" si="2"/>
        <v>2720.4491734226062</v>
      </c>
      <c r="AA40" s="117">
        <f t="shared" si="2"/>
        <v>2595.8107090190329</v>
      </c>
      <c r="AB40" s="117">
        <f t="shared" si="2"/>
        <v>2470.6934251813755</v>
      </c>
      <c r="AC40" s="117">
        <f t="shared" si="2"/>
        <v>2345.095482444975</v>
      </c>
      <c r="AD40" s="117">
        <f t="shared" si="2"/>
        <v>2219.0150342785623</v>
      </c>
      <c r="AE40" s="117">
        <f t="shared" si="2"/>
        <v>2092.4502270571102</v>
      </c>
      <c r="AF40" s="117">
        <f t="shared" si="2"/>
        <v>1965.3992000345825</v>
      </c>
      <c r="AG40" s="117">
        <f t="shared" si="2"/>
        <v>1837.8600853165765</v>
      </c>
      <c r="AH40" s="117">
        <f t="shared" si="2"/>
        <v>1709.8310078328623</v>
      </c>
      <c r="AI40" s="117">
        <f t="shared" si="2"/>
        <v>1581.3100853098149</v>
      </c>
      <c r="AJ40" s="117">
        <f t="shared" si="2"/>
        <v>1452.2954282427413</v>
      </c>
      <c r="AK40" s="117">
        <f t="shared" si="2"/>
        <v>1322.7851398681019</v>
      </c>
      <c r="AL40" s="117">
        <f t="shared" si="2"/>
        <v>1192.7773161356231</v>
      </c>
      <c r="AM40" s="117">
        <f t="shared" si="2"/>
        <v>1062.2700456803054</v>
      </c>
      <c r="AN40" s="117">
        <f t="shared" si="2"/>
        <v>931.26140979432193</v>
      </c>
      <c r="AO40" s="117">
        <f t="shared" si="2"/>
        <v>799.74948239880973</v>
      </c>
      <c r="AP40" s="117">
        <f t="shared" si="2"/>
        <v>667.73233001555309</v>
      </c>
      <c r="AQ40" s="117">
        <f t="shared" si="2"/>
        <v>535.20801173855739</v>
      </c>
      <c r="AR40" s="117">
        <f t="shared" si="2"/>
        <v>402.17457920551431</v>
      </c>
      <c r="AS40" s="117">
        <f t="shared" si="2"/>
        <v>268.63007656915676</v>
      </c>
      <c r="AT40" s="117">
        <f t="shared" si="2"/>
        <v>134.57254046850451</v>
      </c>
      <c r="AU40" s="117" t="str">
        <f t="shared" si="2"/>
        <v/>
      </c>
      <c r="AV40" s="117" t="str">
        <f t="shared" si="2"/>
        <v/>
      </c>
      <c r="AW40" s="117" t="str">
        <f t="shared" si="2"/>
        <v/>
      </c>
      <c r="AX40" s="117" t="str">
        <f t="shared" si="2"/>
        <v/>
      </c>
      <c r="AY40" s="117" t="str">
        <f t="shared" si="2"/>
        <v/>
      </c>
      <c r="AZ40" s="117" t="str">
        <f t="shared" si="2"/>
        <v/>
      </c>
      <c r="BA40" s="117" t="str">
        <f t="shared" si="2"/>
        <v/>
      </c>
      <c r="BB40" s="117" t="str">
        <f t="shared" si="2"/>
        <v/>
      </c>
      <c r="BC40" s="117" t="str">
        <f t="shared" si="2"/>
        <v/>
      </c>
      <c r="BD40" s="117" t="str">
        <f t="shared" si="2"/>
        <v/>
      </c>
      <c r="BE40" s="117" t="str">
        <f t="shared" si="2"/>
        <v/>
      </c>
      <c r="BF40" s="117" t="str">
        <f t="shared" si="2"/>
        <v/>
      </c>
      <c r="BG40" s="117" t="str">
        <f t="shared" si="2"/>
        <v/>
      </c>
      <c r="BH40" s="117" t="str">
        <f t="shared" si="2"/>
        <v/>
      </c>
      <c r="BI40" s="117" t="str">
        <f t="shared" si="2"/>
        <v/>
      </c>
      <c r="BJ40" s="117" t="str">
        <f t="shared" si="2"/>
        <v/>
      </c>
      <c r="BK40" s="117" t="str">
        <f t="shared" si="2"/>
        <v/>
      </c>
      <c r="BL40" s="117" t="str">
        <f t="shared" si="2"/>
        <v/>
      </c>
      <c r="BM40" s="117" t="str">
        <f t="shared" si="2"/>
        <v/>
      </c>
      <c r="BN40" s="117" t="str">
        <f t="shared" si="2"/>
        <v/>
      </c>
      <c r="BO40" s="117" t="str">
        <f t="shared" si="2"/>
        <v/>
      </c>
      <c r="BP40" s="117" t="str">
        <f t="shared" si="2"/>
        <v/>
      </c>
      <c r="BQ40" s="117" t="str">
        <f t="shared" si="2"/>
        <v/>
      </c>
      <c r="BR40" s="117" t="str">
        <f t="shared" si="2"/>
        <v/>
      </c>
      <c r="BS40" s="117" t="str">
        <f t="shared" si="2"/>
        <v/>
      </c>
      <c r="BT40" s="117" t="str">
        <f t="shared" si="2"/>
        <v/>
      </c>
      <c r="BU40" s="117" t="str">
        <f t="shared" ref="BU40:CX40" si="3">IF(OR(BU39&gt;$D$17,BU39=""),"",BT40-BT41)</f>
        <v/>
      </c>
      <c r="BV40" s="117" t="str">
        <f t="shared" si="3"/>
        <v/>
      </c>
      <c r="BW40" s="117" t="str">
        <f t="shared" si="3"/>
        <v/>
      </c>
      <c r="BX40" s="117" t="str">
        <f t="shared" si="3"/>
        <v/>
      </c>
      <c r="BY40" s="117" t="str">
        <f t="shared" si="3"/>
        <v/>
      </c>
      <c r="BZ40" s="117" t="str">
        <f t="shared" si="3"/>
        <v/>
      </c>
      <c r="CA40" s="117" t="str">
        <f t="shared" si="3"/>
        <v/>
      </c>
      <c r="CB40" s="117" t="str">
        <f t="shared" si="3"/>
        <v/>
      </c>
      <c r="CC40" s="117" t="str">
        <f t="shared" si="3"/>
        <v/>
      </c>
      <c r="CD40" s="117" t="str">
        <f t="shared" si="3"/>
        <v/>
      </c>
      <c r="CE40" s="117" t="str">
        <f t="shared" si="3"/>
        <v/>
      </c>
      <c r="CF40" s="117" t="str">
        <f t="shared" si="3"/>
        <v/>
      </c>
      <c r="CG40" s="117" t="str">
        <f t="shared" si="3"/>
        <v/>
      </c>
      <c r="CH40" s="117" t="str">
        <f t="shared" si="3"/>
        <v/>
      </c>
      <c r="CI40" s="117" t="str">
        <f t="shared" si="3"/>
        <v/>
      </c>
      <c r="CJ40" s="117" t="str">
        <f t="shared" si="3"/>
        <v/>
      </c>
      <c r="CK40" s="117" t="str">
        <f t="shared" si="3"/>
        <v/>
      </c>
      <c r="CL40" s="117" t="str">
        <f t="shared" si="3"/>
        <v/>
      </c>
      <c r="CM40" s="117" t="str">
        <f t="shared" si="3"/>
        <v/>
      </c>
      <c r="CN40" s="117" t="str">
        <f t="shared" si="3"/>
        <v/>
      </c>
      <c r="CO40" s="117" t="str">
        <f t="shared" si="3"/>
        <v/>
      </c>
      <c r="CP40" s="117" t="str">
        <f t="shared" si="3"/>
        <v/>
      </c>
      <c r="CQ40" s="117" t="str">
        <f t="shared" si="3"/>
        <v/>
      </c>
      <c r="CR40" s="117" t="str">
        <f t="shared" si="3"/>
        <v/>
      </c>
      <c r="CS40" s="117" t="str">
        <f t="shared" si="3"/>
        <v/>
      </c>
      <c r="CT40" s="117" t="str">
        <f t="shared" si="3"/>
        <v/>
      </c>
      <c r="CU40" s="117" t="str">
        <f t="shared" si="3"/>
        <v/>
      </c>
      <c r="CV40" s="117" t="str">
        <f t="shared" si="3"/>
        <v/>
      </c>
      <c r="CW40" s="117" t="str">
        <f t="shared" si="3"/>
        <v/>
      </c>
      <c r="CX40" s="118" t="str">
        <f t="shared" si="3"/>
        <v/>
      </c>
    </row>
    <row r="41" spans="1:102">
      <c r="A41" s="82"/>
      <c r="B41" s="93"/>
      <c r="C41" s="119" t="s">
        <v>55</v>
      </c>
      <c r="D41" s="55"/>
      <c r="E41" s="61">
        <f>NPV($D$34,G41:CX41)</f>
        <v>4050.5775303691112</v>
      </c>
      <c r="F41" s="120"/>
      <c r="G41" s="121">
        <f>IF(OR(G39&gt;$D$17,G39=""),"",(-PPMT($D$20,G39,$D$17,$D$15,)))</f>
        <v>115.88118997813874</v>
      </c>
      <c r="H41" s="121">
        <f t="shared" ref="H41:BS41" si="4">IF(OR(H39&gt;$D$17,H39=""),"",(-PPMT($D$20,H39,$D$17,$D$15,)))</f>
        <v>116.32636688297141</v>
      </c>
      <c r="I41" s="121">
        <f t="shared" si="4"/>
        <v>116.77325400908018</v>
      </c>
      <c r="J41" s="121">
        <f t="shared" si="4"/>
        <v>117.22185792656505</v>
      </c>
      <c r="K41" s="121">
        <f t="shared" si="4"/>
        <v>117.67218523076627</v>
      </c>
      <c r="L41" s="121">
        <f t="shared" si="4"/>
        <v>118.12424254236115</v>
      </c>
      <c r="M41" s="121">
        <f t="shared" si="4"/>
        <v>118.57803650746138</v>
      </c>
      <c r="N41" s="121">
        <f t="shared" si="4"/>
        <v>119.03357379771087</v>
      </c>
      <c r="O41" s="121">
        <f t="shared" si="4"/>
        <v>119.49086111038373</v>
      </c>
      <c r="P41" s="121">
        <f t="shared" si="4"/>
        <v>119.94990516848279</v>
      </c>
      <c r="Q41" s="121">
        <f t="shared" si="4"/>
        <v>120.41071272083838</v>
      </c>
      <c r="R41" s="121">
        <f t="shared" si="4"/>
        <v>120.87329054220761</v>
      </c>
      <c r="S41" s="121">
        <f t="shared" si="4"/>
        <v>121.33764543337394</v>
      </c>
      <c r="T41" s="121">
        <f t="shared" si="4"/>
        <v>121.80378422124714</v>
      </c>
      <c r="U41" s="121">
        <f t="shared" si="4"/>
        <v>122.27171375896376</v>
      </c>
      <c r="V41" s="121">
        <f t="shared" si="4"/>
        <v>122.74144092598777</v>
      </c>
      <c r="W41" s="121">
        <f t="shared" si="4"/>
        <v>123.21297262821179</v>
      </c>
      <c r="X41" s="121">
        <f t="shared" si="4"/>
        <v>123.6863157980585</v>
      </c>
      <c r="Y41" s="121">
        <f t="shared" si="4"/>
        <v>124.1614773945827</v>
      </c>
      <c r="Z41" s="121">
        <f t="shared" si="4"/>
        <v>124.63846440357356</v>
      </c>
      <c r="AA41" s="121">
        <f t="shared" si="4"/>
        <v>125.11728383765728</v>
      </c>
      <c r="AB41" s="121">
        <f t="shared" si="4"/>
        <v>125.59794273640028</v>
      </c>
      <c r="AC41" s="121">
        <f t="shared" si="4"/>
        <v>126.08044816641264</v>
      </c>
      <c r="AD41" s="121">
        <f t="shared" si="4"/>
        <v>126.56480722145193</v>
      </c>
      <c r="AE41" s="121">
        <f t="shared" si="4"/>
        <v>127.05102702252768</v>
      </c>
      <c r="AF41" s="121">
        <f t="shared" si="4"/>
        <v>127.53911471800589</v>
      </c>
      <c r="AG41" s="121">
        <f t="shared" si="4"/>
        <v>128.02907748371422</v>
      </c>
      <c r="AH41" s="121">
        <f t="shared" si="4"/>
        <v>128.52092252304749</v>
      </c>
      <c r="AI41" s="121">
        <f t="shared" si="4"/>
        <v>129.01465706707353</v>
      </c>
      <c r="AJ41" s="121">
        <f t="shared" si="4"/>
        <v>129.51028837463952</v>
      </c>
      <c r="AK41" s="121">
        <f t="shared" si="4"/>
        <v>130.00782373247878</v>
      </c>
      <c r="AL41" s="121">
        <f t="shared" si="4"/>
        <v>130.50727045531772</v>
      </c>
      <c r="AM41" s="121">
        <f t="shared" si="4"/>
        <v>131.00863588598355</v>
      </c>
      <c r="AN41" s="121">
        <f t="shared" si="4"/>
        <v>131.51192739551223</v>
      </c>
      <c r="AO41" s="121">
        <f t="shared" si="4"/>
        <v>132.01715238325664</v>
      </c>
      <c r="AP41" s="121">
        <f t="shared" si="4"/>
        <v>132.52431827699564</v>
      </c>
      <c r="AQ41" s="121">
        <f t="shared" si="4"/>
        <v>133.03343253304308</v>
      </c>
      <c r="AR41" s="121">
        <f t="shared" si="4"/>
        <v>133.54450263635755</v>
      </c>
      <c r="AS41" s="121">
        <f t="shared" si="4"/>
        <v>134.05753610065224</v>
      </c>
      <c r="AT41" s="121">
        <f t="shared" si="4"/>
        <v>134.57254046850557</v>
      </c>
      <c r="AU41" s="121" t="str">
        <f t="shared" si="4"/>
        <v/>
      </c>
      <c r="AV41" s="121" t="str">
        <f t="shared" si="4"/>
        <v/>
      </c>
      <c r="AW41" s="121" t="str">
        <f t="shared" si="4"/>
        <v/>
      </c>
      <c r="AX41" s="121" t="str">
        <f t="shared" si="4"/>
        <v/>
      </c>
      <c r="AY41" s="121" t="str">
        <f t="shared" si="4"/>
        <v/>
      </c>
      <c r="AZ41" s="121" t="str">
        <f t="shared" si="4"/>
        <v/>
      </c>
      <c r="BA41" s="121" t="str">
        <f t="shared" si="4"/>
        <v/>
      </c>
      <c r="BB41" s="121" t="str">
        <f t="shared" si="4"/>
        <v/>
      </c>
      <c r="BC41" s="121" t="str">
        <f t="shared" si="4"/>
        <v/>
      </c>
      <c r="BD41" s="121" t="str">
        <f t="shared" si="4"/>
        <v/>
      </c>
      <c r="BE41" s="121" t="str">
        <f t="shared" si="4"/>
        <v/>
      </c>
      <c r="BF41" s="121" t="str">
        <f t="shared" si="4"/>
        <v/>
      </c>
      <c r="BG41" s="121" t="str">
        <f t="shared" si="4"/>
        <v/>
      </c>
      <c r="BH41" s="121" t="str">
        <f t="shared" si="4"/>
        <v/>
      </c>
      <c r="BI41" s="121" t="str">
        <f t="shared" si="4"/>
        <v/>
      </c>
      <c r="BJ41" s="121" t="str">
        <f t="shared" si="4"/>
        <v/>
      </c>
      <c r="BK41" s="121" t="str">
        <f t="shared" si="4"/>
        <v/>
      </c>
      <c r="BL41" s="121" t="str">
        <f t="shared" si="4"/>
        <v/>
      </c>
      <c r="BM41" s="121" t="str">
        <f t="shared" si="4"/>
        <v/>
      </c>
      <c r="BN41" s="121" t="str">
        <f t="shared" si="4"/>
        <v/>
      </c>
      <c r="BO41" s="121" t="str">
        <f t="shared" si="4"/>
        <v/>
      </c>
      <c r="BP41" s="121" t="str">
        <f t="shared" si="4"/>
        <v/>
      </c>
      <c r="BQ41" s="121" t="str">
        <f t="shared" si="4"/>
        <v/>
      </c>
      <c r="BR41" s="121" t="str">
        <f t="shared" si="4"/>
        <v/>
      </c>
      <c r="BS41" s="121" t="str">
        <f t="shared" si="4"/>
        <v/>
      </c>
      <c r="BT41" s="121" t="str">
        <f t="shared" ref="BT41:CX41" si="5">IF(OR(BT39&gt;$D$17,BT39=""),"",(-PPMT($D$20,BT39,$D$17,$D$15,)))</f>
        <v/>
      </c>
      <c r="BU41" s="121" t="str">
        <f t="shared" si="5"/>
        <v/>
      </c>
      <c r="BV41" s="121" t="str">
        <f t="shared" si="5"/>
        <v/>
      </c>
      <c r="BW41" s="121" t="str">
        <f t="shared" si="5"/>
        <v/>
      </c>
      <c r="BX41" s="121" t="str">
        <f t="shared" si="5"/>
        <v/>
      </c>
      <c r="BY41" s="121" t="str">
        <f t="shared" si="5"/>
        <v/>
      </c>
      <c r="BZ41" s="121" t="str">
        <f t="shared" si="5"/>
        <v/>
      </c>
      <c r="CA41" s="121" t="str">
        <f t="shared" si="5"/>
        <v/>
      </c>
      <c r="CB41" s="121" t="str">
        <f t="shared" si="5"/>
        <v/>
      </c>
      <c r="CC41" s="121" t="str">
        <f t="shared" si="5"/>
        <v/>
      </c>
      <c r="CD41" s="121" t="str">
        <f t="shared" si="5"/>
        <v/>
      </c>
      <c r="CE41" s="121" t="str">
        <f t="shared" si="5"/>
        <v/>
      </c>
      <c r="CF41" s="121" t="str">
        <f t="shared" si="5"/>
        <v/>
      </c>
      <c r="CG41" s="121" t="str">
        <f t="shared" si="5"/>
        <v/>
      </c>
      <c r="CH41" s="121" t="str">
        <f t="shared" si="5"/>
        <v/>
      </c>
      <c r="CI41" s="121" t="str">
        <f t="shared" si="5"/>
        <v/>
      </c>
      <c r="CJ41" s="121" t="str">
        <f t="shared" si="5"/>
        <v/>
      </c>
      <c r="CK41" s="121" t="str">
        <f t="shared" si="5"/>
        <v/>
      </c>
      <c r="CL41" s="121" t="str">
        <f t="shared" si="5"/>
        <v/>
      </c>
      <c r="CM41" s="121" t="str">
        <f t="shared" si="5"/>
        <v/>
      </c>
      <c r="CN41" s="121" t="str">
        <f t="shared" si="5"/>
        <v/>
      </c>
      <c r="CO41" s="121" t="str">
        <f t="shared" si="5"/>
        <v/>
      </c>
      <c r="CP41" s="121" t="str">
        <f t="shared" si="5"/>
        <v/>
      </c>
      <c r="CQ41" s="121" t="str">
        <f t="shared" si="5"/>
        <v/>
      </c>
      <c r="CR41" s="121" t="str">
        <f t="shared" si="5"/>
        <v/>
      </c>
      <c r="CS41" s="121" t="str">
        <f t="shared" si="5"/>
        <v/>
      </c>
      <c r="CT41" s="121" t="str">
        <f t="shared" si="5"/>
        <v/>
      </c>
      <c r="CU41" s="121" t="str">
        <f t="shared" si="5"/>
        <v/>
      </c>
      <c r="CV41" s="121" t="str">
        <f t="shared" si="5"/>
        <v/>
      </c>
      <c r="CW41" s="121" t="str">
        <f t="shared" si="5"/>
        <v/>
      </c>
      <c r="CX41" s="122" t="str">
        <f t="shared" si="5"/>
        <v/>
      </c>
    </row>
    <row r="42" spans="1:102">
      <c r="A42" s="82"/>
      <c r="B42" s="89" t="s">
        <v>56</v>
      </c>
      <c r="C42" s="123" t="s">
        <v>57</v>
      </c>
      <c r="D42" s="124">
        <f>D20</f>
        <v>3.8416666666666668E-3</v>
      </c>
      <c r="E42" s="115">
        <f>NPV($D$34,G42:CX42)</f>
        <v>350.14700679986947</v>
      </c>
      <c r="F42" s="116"/>
      <c r="G42" s="117">
        <f>IF(OR(G39&gt;$D$17,G39=""),"",-IPMT($D$20,G39,$D$17,$D$15))</f>
        <v>19.208333333333336</v>
      </c>
      <c r="H42" s="117">
        <f t="shared" ref="H42:BS42" si="6">IF(OR(H39&gt;$D$17,H39=""),"",-IPMT($D$20,H39,$D$17,$D$15))</f>
        <v>18.763156428500647</v>
      </c>
      <c r="I42" s="117">
        <f t="shared" si="6"/>
        <v>18.316269302391905</v>
      </c>
      <c r="J42" s="117">
        <f t="shared" si="6"/>
        <v>17.867665384907021</v>
      </c>
      <c r="K42" s="117">
        <f t="shared" si="6"/>
        <v>17.4173380807058</v>
      </c>
      <c r="L42" s="117">
        <f t="shared" si="6"/>
        <v>16.96528076911094</v>
      </c>
      <c r="M42" s="117">
        <f t="shared" si="6"/>
        <v>16.511486804010698</v>
      </c>
      <c r="N42" s="117">
        <f t="shared" si="6"/>
        <v>16.055949513761206</v>
      </c>
      <c r="O42" s="117">
        <f t="shared" si="6"/>
        <v>15.598662201088331</v>
      </c>
      <c r="P42" s="117">
        <f t="shared" si="6"/>
        <v>15.139618142989272</v>
      </c>
      <c r="Q42" s="117">
        <f t="shared" si="6"/>
        <v>14.678810590633686</v>
      </c>
      <c r="R42" s="117">
        <f t="shared" si="6"/>
        <v>14.216232769264463</v>
      </c>
      <c r="S42" s="117">
        <f t="shared" si="6"/>
        <v>13.751877878098151</v>
      </c>
      <c r="T42" s="117">
        <f t="shared" si="6"/>
        <v>13.285739090224936</v>
      </c>
      <c r="U42" s="117">
        <f t="shared" si="6"/>
        <v>12.817809552508313</v>
      </c>
      <c r="V42" s="117">
        <f t="shared" si="6"/>
        <v>12.348082385484297</v>
      </c>
      <c r="W42" s="117">
        <f t="shared" si="6"/>
        <v>11.876550683260293</v>
      </c>
      <c r="X42" s="117">
        <f t="shared" si="6"/>
        <v>11.403207513413578</v>
      </c>
      <c r="Y42" s="117">
        <f t="shared" si="6"/>
        <v>10.928045916889371</v>
      </c>
      <c r="Z42" s="117">
        <f t="shared" si="6"/>
        <v>10.451058907898517</v>
      </c>
      <c r="AA42" s="117">
        <f t="shared" si="6"/>
        <v>9.9722394738147884</v>
      </c>
      <c r="AB42" s="117">
        <f t="shared" si="6"/>
        <v>9.4915805750717883</v>
      </c>
      <c r="AC42" s="117">
        <f t="shared" si="6"/>
        <v>9.00907514505945</v>
      </c>
      <c r="AD42" s="117">
        <f t="shared" si="6"/>
        <v>8.5247160900201475</v>
      </c>
      <c r="AE42" s="117">
        <f t="shared" si="6"/>
        <v>8.0384962889444047</v>
      </c>
      <c r="AF42" s="117">
        <f t="shared" si="6"/>
        <v>7.5504085934661926</v>
      </c>
      <c r="AG42" s="117">
        <f t="shared" si="6"/>
        <v>7.060445827757853</v>
      </c>
      <c r="AH42" s="117">
        <f t="shared" si="6"/>
        <v>6.5686007884245852</v>
      </c>
      <c r="AI42" s="117">
        <f t="shared" si="6"/>
        <v>6.0748662443985424</v>
      </c>
      <c r="AJ42" s="117">
        <f t="shared" si="6"/>
        <v>5.5792349368325356</v>
      </c>
      <c r="AK42" s="117">
        <f t="shared" si="6"/>
        <v>5.0816995789932955</v>
      </c>
      <c r="AL42" s="117">
        <f t="shared" si="6"/>
        <v>4.5822528561543567</v>
      </c>
      <c r="AM42" s="117">
        <f t="shared" si="6"/>
        <v>4.0808874254885108</v>
      </c>
      <c r="AN42" s="117">
        <f t="shared" si="6"/>
        <v>3.5775959159598574</v>
      </c>
      <c r="AO42" s="117">
        <f t="shared" si="6"/>
        <v>3.0723709282154315</v>
      </c>
      <c r="AP42" s="117">
        <f t="shared" si="6"/>
        <v>2.5652050344764206</v>
      </c>
      <c r="AQ42" s="117">
        <f t="shared" si="6"/>
        <v>2.0560907784289619</v>
      </c>
      <c r="AR42" s="117">
        <f t="shared" si="6"/>
        <v>1.5450206751145215</v>
      </c>
      <c r="AS42" s="117">
        <f t="shared" si="6"/>
        <v>1.0319872108198478</v>
      </c>
      <c r="AT42" s="117">
        <f t="shared" si="6"/>
        <v>0.51698284296650887</v>
      </c>
      <c r="AU42" s="117" t="str">
        <f t="shared" si="6"/>
        <v/>
      </c>
      <c r="AV42" s="117" t="str">
        <f t="shared" si="6"/>
        <v/>
      </c>
      <c r="AW42" s="117" t="str">
        <f t="shared" si="6"/>
        <v/>
      </c>
      <c r="AX42" s="117" t="str">
        <f t="shared" si="6"/>
        <v/>
      </c>
      <c r="AY42" s="117" t="str">
        <f t="shared" si="6"/>
        <v/>
      </c>
      <c r="AZ42" s="117" t="str">
        <f t="shared" si="6"/>
        <v/>
      </c>
      <c r="BA42" s="117" t="str">
        <f t="shared" si="6"/>
        <v/>
      </c>
      <c r="BB42" s="117" t="str">
        <f t="shared" si="6"/>
        <v/>
      </c>
      <c r="BC42" s="117" t="str">
        <f t="shared" si="6"/>
        <v/>
      </c>
      <c r="BD42" s="117" t="str">
        <f t="shared" si="6"/>
        <v/>
      </c>
      <c r="BE42" s="117" t="str">
        <f t="shared" si="6"/>
        <v/>
      </c>
      <c r="BF42" s="117" t="str">
        <f t="shared" si="6"/>
        <v/>
      </c>
      <c r="BG42" s="117" t="str">
        <f t="shared" si="6"/>
        <v/>
      </c>
      <c r="BH42" s="117" t="str">
        <f t="shared" si="6"/>
        <v/>
      </c>
      <c r="BI42" s="117" t="str">
        <f t="shared" si="6"/>
        <v/>
      </c>
      <c r="BJ42" s="117" t="str">
        <f t="shared" si="6"/>
        <v/>
      </c>
      <c r="BK42" s="117" t="str">
        <f t="shared" si="6"/>
        <v/>
      </c>
      <c r="BL42" s="117" t="str">
        <f t="shared" si="6"/>
        <v/>
      </c>
      <c r="BM42" s="117" t="str">
        <f t="shared" si="6"/>
        <v/>
      </c>
      <c r="BN42" s="117" t="str">
        <f t="shared" si="6"/>
        <v/>
      </c>
      <c r="BO42" s="117" t="str">
        <f t="shared" si="6"/>
        <v/>
      </c>
      <c r="BP42" s="117" t="str">
        <f t="shared" si="6"/>
        <v/>
      </c>
      <c r="BQ42" s="117" t="str">
        <f t="shared" si="6"/>
        <v/>
      </c>
      <c r="BR42" s="117" t="str">
        <f t="shared" si="6"/>
        <v/>
      </c>
      <c r="BS42" s="117" t="str">
        <f t="shared" si="6"/>
        <v/>
      </c>
      <c r="BT42" s="117" t="str">
        <f t="shared" ref="BT42:CX42" si="7">IF(OR(BT39&gt;$D$17,BT39=""),"",-IPMT($D$20,BT39,$D$17,$D$15))</f>
        <v/>
      </c>
      <c r="BU42" s="117" t="str">
        <f t="shared" si="7"/>
        <v/>
      </c>
      <c r="BV42" s="117" t="str">
        <f t="shared" si="7"/>
        <v/>
      </c>
      <c r="BW42" s="117" t="str">
        <f t="shared" si="7"/>
        <v/>
      </c>
      <c r="BX42" s="117" t="str">
        <f t="shared" si="7"/>
        <v/>
      </c>
      <c r="BY42" s="117" t="str">
        <f t="shared" si="7"/>
        <v/>
      </c>
      <c r="BZ42" s="117" t="str">
        <f t="shared" si="7"/>
        <v/>
      </c>
      <c r="CA42" s="117" t="str">
        <f t="shared" si="7"/>
        <v/>
      </c>
      <c r="CB42" s="117" t="str">
        <f t="shared" si="7"/>
        <v/>
      </c>
      <c r="CC42" s="117" t="str">
        <f t="shared" si="7"/>
        <v/>
      </c>
      <c r="CD42" s="117" t="str">
        <f t="shared" si="7"/>
        <v/>
      </c>
      <c r="CE42" s="117" t="str">
        <f t="shared" si="7"/>
        <v/>
      </c>
      <c r="CF42" s="117" t="str">
        <f t="shared" si="7"/>
        <v/>
      </c>
      <c r="CG42" s="117" t="str">
        <f t="shared" si="7"/>
        <v/>
      </c>
      <c r="CH42" s="117" t="str">
        <f t="shared" si="7"/>
        <v/>
      </c>
      <c r="CI42" s="117" t="str">
        <f t="shared" si="7"/>
        <v/>
      </c>
      <c r="CJ42" s="117" t="str">
        <f t="shared" si="7"/>
        <v/>
      </c>
      <c r="CK42" s="117" t="str">
        <f t="shared" si="7"/>
        <v/>
      </c>
      <c r="CL42" s="117" t="str">
        <f t="shared" si="7"/>
        <v/>
      </c>
      <c r="CM42" s="117" t="str">
        <f t="shared" si="7"/>
        <v/>
      </c>
      <c r="CN42" s="117" t="str">
        <f t="shared" si="7"/>
        <v/>
      </c>
      <c r="CO42" s="117" t="str">
        <f t="shared" si="7"/>
        <v/>
      </c>
      <c r="CP42" s="117" t="str">
        <f t="shared" si="7"/>
        <v/>
      </c>
      <c r="CQ42" s="117" t="str">
        <f t="shared" si="7"/>
        <v/>
      </c>
      <c r="CR42" s="117" t="str">
        <f t="shared" si="7"/>
        <v/>
      </c>
      <c r="CS42" s="117" t="str">
        <f t="shared" si="7"/>
        <v/>
      </c>
      <c r="CT42" s="117" t="str">
        <f t="shared" si="7"/>
        <v/>
      </c>
      <c r="CU42" s="117" t="str">
        <f t="shared" si="7"/>
        <v/>
      </c>
      <c r="CV42" s="117" t="str">
        <f t="shared" si="7"/>
        <v/>
      </c>
      <c r="CW42" s="117" t="str">
        <f t="shared" si="7"/>
        <v/>
      </c>
      <c r="CX42" s="118" t="str">
        <f t="shared" si="7"/>
        <v/>
      </c>
    </row>
    <row r="43" spans="1:102">
      <c r="A43" s="82"/>
      <c r="B43" s="93"/>
      <c r="C43" s="55" t="s">
        <v>58</v>
      </c>
      <c r="D43" s="125">
        <f>D21</f>
        <v>0</v>
      </c>
      <c r="E43" s="62">
        <f>NPV($D$34,G43:CX43)</f>
        <v>0</v>
      </c>
      <c r="F43" s="120"/>
      <c r="G43" s="121">
        <f>IF(OR(G39&gt;$D$17,G39=""),"",$D$43*G40)</f>
        <v>0</v>
      </c>
      <c r="H43" s="121">
        <f t="shared" ref="H43:BS43" si="8">IF(OR(H39&gt;$D$17,H39=""),"",$D$43*H40)</f>
        <v>0</v>
      </c>
      <c r="I43" s="121">
        <f t="shared" si="8"/>
        <v>0</v>
      </c>
      <c r="J43" s="121">
        <f t="shared" si="8"/>
        <v>0</v>
      </c>
      <c r="K43" s="121">
        <f t="shared" si="8"/>
        <v>0</v>
      </c>
      <c r="L43" s="121">
        <f t="shared" si="8"/>
        <v>0</v>
      </c>
      <c r="M43" s="121">
        <f t="shared" si="8"/>
        <v>0</v>
      </c>
      <c r="N43" s="121">
        <f t="shared" si="8"/>
        <v>0</v>
      </c>
      <c r="O43" s="121">
        <f t="shared" si="8"/>
        <v>0</v>
      </c>
      <c r="P43" s="121">
        <f t="shared" si="8"/>
        <v>0</v>
      </c>
      <c r="Q43" s="121">
        <f t="shared" si="8"/>
        <v>0</v>
      </c>
      <c r="R43" s="121">
        <f t="shared" si="8"/>
        <v>0</v>
      </c>
      <c r="S43" s="121">
        <f t="shared" si="8"/>
        <v>0</v>
      </c>
      <c r="T43" s="121">
        <f t="shared" si="8"/>
        <v>0</v>
      </c>
      <c r="U43" s="121">
        <f t="shared" si="8"/>
        <v>0</v>
      </c>
      <c r="V43" s="121">
        <f t="shared" si="8"/>
        <v>0</v>
      </c>
      <c r="W43" s="121">
        <f t="shared" si="8"/>
        <v>0</v>
      </c>
      <c r="X43" s="121">
        <f t="shared" si="8"/>
        <v>0</v>
      </c>
      <c r="Y43" s="121">
        <f t="shared" si="8"/>
        <v>0</v>
      </c>
      <c r="Z43" s="121">
        <f t="shared" si="8"/>
        <v>0</v>
      </c>
      <c r="AA43" s="121">
        <f t="shared" si="8"/>
        <v>0</v>
      </c>
      <c r="AB43" s="121">
        <f t="shared" si="8"/>
        <v>0</v>
      </c>
      <c r="AC43" s="121">
        <f t="shared" si="8"/>
        <v>0</v>
      </c>
      <c r="AD43" s="121">
        <f t="shared" si="8"/>
        <v>0</v>
      </c>
      <c r="AE43" s="121">
        <f t="shared" si="8"/>
        <v>0</v>
      </c>
      <c r="AF43" s="121">
        <f t="shared" si="8"/>
        <v>0</v>
      </c>
      <c r="AG43" s="121">
        <f t="shared" si="8"/>
        <v>0</v>
      </c>
      <c r="AH43" s="121">
        <f t="shared" si="8"/>
        <v>0</v>
      </c>
      <c r="AI43" s="121">
        <f t="shared" si="8"/>
        <v>0</v>
      </c>
      <c r="AJ43" s="121">
        <f t="shared" si="8"/>
        <v>0</v>
      </c>
      <c r="AK43" s="121">
        <f t="shared" si="8"/>
        <v>0</v>
      </c>
      <c r="AL43" s="121">
        <f t="shared" si="8"/>
        <v>0</v>
      </c>
      <c r="AM43" s="121">
        <f t="shared" si="8"/>
        <v>0</v>
      </c>
      <c r="AN43" s="121">
        <f t="shared" si="8"/>
        <v>0</v>
      </c>
      <c r="AO43" s="121">
        <f t="shared" si="8"/>
        <v>0</v>
      </c>
      <c r="AP43" s="121">
        <f t="shared" si="8"/>
        <v>0</v>
      </c>
      <c r="AQ43" s="121">
        <f t="shared" si="8"/>
        <v>0</v>
      </c>
      <c r="AR43" s="121">
        <f t="shared" si="8"/>
        <v>0</v>
      </c>
      <c r="AS43" s="121">
        <f t="shared" si="8"/>
        <v>0</v>
      </c>
      <c r="AT43" s="121">
        <f t="shared" si="8"/>
        <v>0</v>
      </c>
      <c r="AU43" s="121" t="str">
        <f t="shared" si="8"/>
        <v/>
      </c>
      <c r="AV43" s="121" t="str">
        <f t="shared" si="8"/>
        <v/>
      </c>
      <c r="AW43" s="121" t="str">
        <f t="shared" si="8"/>
        <v/>
      </c>
      <c r="AX43" s="121" t="str">
        <f t="shared" si="8"/>
        <v/>
      </c>
      <c r="AY43" s="121" t="str">
        <f t="shared" si="8"/>
        <v/>
      </c>
      <c r="AZ43" s="121" t="str">
        <f t="shared" si="8"/>
        <v/>
      </c>
      <c r="BA43" s="121" t="str">
        <f t="shared" si="8"/>
        <v/>
      </c>
      <c r="BB43" s="121" t="str">
        <f t="shared" si="8"/>
        <v/>
      </c>
      <c r="BC43" s="121" t="str">
        <f t="shared" si="8"/>
        <v/>
      </c>
      <c r="BD43" s="121" t="str">
        <f t="shared" si="8"/>
        <v/>
      </c>
      <c r="BE43" s="121" t="str">
        <f t="shared" si="8"/>
        <v/>
      </c>
      <c r="BF43" s="121" t="str">
        <f t="shared" si="8"/>
        <v/>
      </c>
      <c r="BG43" s="121" t="str">
        <f t="shared" si="8"/>
        <v/>
      </c>
      <c r="BH43" s="121" t="str">
        <f t="shared" si="8"/>
        <v/>
      </c>
      <c r="BI43" s="121" t="str">
        <f t="shared" si="8"/>
        <v/>
      </c>
      <c r="BJ43" s="121" t="str">
        <f t="shared" si="8"/>
        <v/>
      </c>
      <c r="BK43" s="121" t="str">
        <f t="shared" si="8"/>
        <v/>
      </c>
      <c r="BL43" s="121" t="str">
        <f t="shared" si="8"/>
        <v/>
      </c>
      <c r="BM43" s="121" t="str">
        <f t="shared" si="8"/>
        <v/>
      </c>
      <c r="BN43" s="121" t="str">
        <f t="shared" si="8"/>
        <v/>
      </c>
      <c r="BO43" s="121" t="str">
        <f t="shared" si="8"/>
        <v/>
      </c>
      <c r="BP43" s="121" t="str">
        <f t="shared" si="8"/>
        <v/>
      </c>
      <c r="BQ43" s="121" t="str">
        <f t="shared" si="8"/>
        <v/>
      </c>
      <c r="BR43" s="121" t="str">
        <f t="shared" si="8"/>
        <v/>
      </c>
      <c r="BS43" s="121" t="str">
        <f t="shared" si="8"/>
        <v/>
      </c>
      <c r="BT43" s="121" t="str">
        <f t="shared" ref="BT43:CX43" si="9">IF(OR(BT39&gt;$D$17,BT39=""),"",$D$43*BT40)</f>
        <v/>
      </c>
      <c r="BU43" s="121" t="str">
        <f t="shared" si="9"/>
        <v/>
      </c>
      <c r="BV43" s="121" t="str">
        <f t="shared" si="9"/>
        <v/>
      </c>
      <c r="BW43" s="121" t="str">
        <f t="shared" si="9"/>
        <v/>
      </c>
      <c r="BX43" s="121" t="str">
        <f t="shared" si="9"/>
        <v/>
      </c>
      <c r="BY43" s="121" t="str">
        <f t="shared" si="9"/>
        <v/>
      </c>
      <c r="BZ43" s="121" t="str">
        <f t="shared" si="9"/>
        <v/>
      </c>
      <c r="CA43" s="121" t="str">
        <f t="shared" si="9"/>
        <v/>
      </c>
      <c r="CB43" s="121" t="str">
        <f t="shared" si="9"/>
        <v/>
      </c>
      <c r="CC43" s="121" t="str">
        <f t="shared" si="9"/>
        <v/>
      </c>
      <c r="CD43" s="121" t="str">
        <f t="shared" si="9"/>
        <v/>
      </c>
      <c r="CE43" s="121" t="str">
        <f t="shared" si="9"/>
        <v/>
      </c>
      <c r="CF43" s="121" t="str">
        <f t="shared" si="9"/>
        <v/>
      </c>
      <c r="CG43" s="121" t="str">
        <f t="shared" si="9"/>
        <v/>
      </c>
      <c r="CH43" s="121" t="str">
        <f t="shared" si="9"/>
        <v/>
      </c>
      <c r="CI43" s="121" t="str">
        <f t="shared" si="9"/>
        <v/>
      </c>
      <c r="CJ43" s="121" t="str">
        <f t="shared" si="9"/>
        <v/>
      </c>
      <c r="CK43" s="121" t="str">
        <f t="shared" si="9"/>
        <v/>
      </c>
      <c r="CL43" s="121" t="str">
        <f t="shared" si="9"/>
        <v/>
      </c>
      <c r="CM43" s="121" t="str">
        <f t="shared" si="9"/>
        <v/>
      </c>
      <c r="CN43" s="121" t="str">
        <f t="shared" si="9"/>
        <v/>
      </c>
      <c r="CO43" s="121" t="str">
        <f t="shared" si="9"/>
        <v/>
      </c>
      <c r="CP43" s="121" t="str">
        <f t="shared" si="9"/>
        <v/>
      </c>
      <c r="CQ43" s="121" t="str">
        <f t="shared" si="9"/>
        <v/>
      </c>
      <c r="CR43" s="121" t="str">
        <f t="shared" si="9"/>
        <v/>
      </c>
      <c r="CS43" s="121" t="str">
        <f t="shared" si="9"/>
        <v/>
      </c>
      <c r="CT43" s="121" t="str">
        <f t="shared" si="9"/>
        <v/>
      </c>
      <c r="CU43" s="121" t="str">
        <f t="shared" si="9"/>
        <v/>
      </c>
      <c r="CV43" s="121" t="str">
        <f t="shared" si="9"/>
        <v/>
      </c>
      <c r="CW43" s="121" t="str">
        <f t="shared" si="9"/>
        <v/>
      </c>
      <c r="CX43" s="122" t="str">
        <f t="shared" si="9"/>
        <v/>
      </c>
    </row>
    <row r="44" spans="1:102">
      <c r="A44" s="82"/>
      <c r="B44" s="95"/>
      <c r="C44" s="66" t="s">
        <v>59</v>
      </c>
      <c r="D44" s="66"/>
      <c r="E44" s="126">
        <f>NPV($D$34,G44:CX44)</f>
        <v>350.14700679986947</v>
      </c>
      <c r="F44" s="127"/>
      <c r="G44" s="128">
        <f>IF(OR(G39&gt;$D$17,G39=""),"",SUM(G42:G43))</f>
        <v>19.208333333333336</v>
      </c>
      <c r="H44" s="128">
        <f t="shared" ref="H44:BS44" si="10">IF(OR(H39&gt;$D$17,H39=""),"",SUM(H42:H43))</f>
        <v>18.763156428500647</v>
      </c>
      <c r="I44" s="128">
        <f t="shared" si="10"/>
        <v>18.316269302391905</v>
      </c>
      <c r="J44" s="128">
        <f t="shared" si="10"/>
        <v>17.867665384907021</v>
      </c>
      <c r="K44" s="128">
        <f t="shared" si="10"/>
        <v>17.4173380807058</v>
      </c>
      <c r="L44" s="128">
        <f t="shared" si="10"/>
        <v>16.96528076911094</v>
      </c>
      <c r="M44" s="128">
        <f t="shared" si="10"/>
        <v>16.511486804010698</v>
      </c>
      <c r="N44" s="128">
        <f t="shared" si="10"/>
        <v>16.055949513761206</v>
      </c>
      <c r="O44" s="128">
        <f t="shared" si="10"/>
        <v>15.598662201088331</v>
      </c>
      <c r="P44" s="128">
        <f t="shared" si="10"/>
        <v>15.139618142989272</v>
      </c>
      <c r="Q44" s="128">
        <f t="shared" si="10"/>
        <v>14.678810590633686</v>
      </c>
      <c r="R44" s="128">
        <f t="shared" si="10"/>
        <v>14.216232769264463</v>
      </c>
      <c r="S44" s="128">
        <f t="shared" si="10"/>
        <v>13.751877878098151</v>
      </c>
      <c r="T44" s="128">
        <f t="shared" si="10"/>
        <v>13.285739090224936</v>
      </c>
      <c r="U44" s="128">
        <f t="shared" si="10"/>
        <v>12.817809552508313</v>
      </c>
      <c r="V44" s="128">
        <f t="shared" si="10"/>
        <v>12.348082385484297</v>
      </c>
      <c r="W44" s="128">
        <f t="shared" si="10"/>
        <v>11.876550683260293</v>
      </c>
      <c r="X44" s="128">
        <f t="shared" si="10"/>
        <v>11.403207513413578</v>
      </c>
      <c r="Y44" s="128">
        <f t="shared" si="10"/>
        <v>10.928045916889371</v>
      </c>
      <c r="Z44" s="128">
        <f t="shared" si="10"/>
        <v>10.451058907898517</v>
      </c>
      <c r="AA44" s="128">
        <f t="shared" si="10"/>
        <v>9.9722394738147884</v>
      </c>
      <c r="AB44" s="128">
        <f t="shared" si="10"/>
        <v>9.4915805750717883</v>
      </c>
      <c r="AC44" s="128">
        <f t="shared" si="10"/>
        <v>9.00907514505945</v>
      </c>
      <c r="AD44" s="128">
        <f t="shared" si="10"/>
        <v>8.5247160900201475</v>
      </c>
      <c r="AE44" s="128">
        <f t="shared" si="10"/>
        <v>8.0384962889444047</v>
      </c>
      <c r="AF44" s="128">
        <f t="shared" si="10"/>
        <v>7.5504085934661926</v>
      </c>
      <c r="AG44" s="128">
        <f t="shared" si="10"/>
        <v>7.060445827757853</v>
      </c>
      <c r="AH44" s="128">
        <f t="shared" si="10"/>
        <v>6.5686007884245852</v>
      </c>
      <c r="AI44" s="128">
        <f t="shared" si="10"/>
        <v>6.0748662443985424</v>
      </c>
      <c r="AJ44" s="128">
        <f t="shared" si="10"/>
        <v>5.5792349368325356</v>
      </c>
      <c r="AK44" s="128">
        <f t="shared" si="10"/>
        <v>5.0816995789932955</v>
      </c>
      <c r="AL44" s="128">
        <f t="shared" si="10"/>
        <v>4.5822528561543567</v>
      </c>
      <c r="AM44" s="128">
        <f t="shared" si="10"/>
        <v>4.0808874254885108</v>
      </c>
      <c r="AN44" s="128">
        <f t="shared" si="10"/>
        <v>3.5775959159598574</v>
      </c>
      <c r="AO44" s="128">
        <f t="shared" si="10"/>
        <v>3.0723709282154315</v>
      </c>
      <c r="AP44" s="128">
        <f t="shared" si="10"/>
        <v>2.5652050344764206</v>
      </c>
      <c r="AQ44" s="128">
        <f t="shared" si="10"/>
        <v>2.0560907784289619</v>
      </c>
      <c r="AR44" s="128">
        <f t="shared" si="10"/>
        <v>1.5450206751145215</v>
      </c>
      <c r="AS44" s="128">
        <f t="shared" si="10"/>
        <v>1.0319872108198478</v>
      </c>
      <c r="AT44" s="128">
        <f t="shared" si="10"/>
        <v>0.51698284296650887</v>
      </c>
      <c r="AU44" s="128" t="str">
        <f t="shared" si="10"/>
        <v/>
      </c>
      <c r="AV44" s="128" t="str">
        <f t="shared" si="10"/>
        <v/>
      </c>
      <c r="AW44" s="128" t="str">
        <f t="shared" si="10"/>
        <v/>
      </c>
      <c r="AX44" s="128" t="str">
        <f t="shared" si="10"/>
        <v/>
      </c>
      <c r="AY44" s="128" t="str">
        <f t="shared" si="10"/>
        <v/>
      </c>
      <c r="AZ44" s="128" t="str">
        <f t="shared" si="10"/>
        <v/>
      </c>
      <c r="BA44" s="128" t="str">
        <f t="shared" si="10"/>
        <v/>
      </c>
      <c r="BB44" s="128" t="str">
        <f t="shared" si="10"/>
        <v/>
      </c>
      <c r="BC44" s="128" t="str">
        <f t="shared" si="10"/>
        <v/>
      </c>
      <c r="BD44" s="128" t="str">
        <f t="shared" si="10"/>
        <v/>
      </c>
      <c r="BE44" s="128" t="str">
        <f t="shared" si="10"/>
        <v/>
      </c>
      <c r="BF44" s="128" t="str">
        <f t="shared" si="10"/>
        <v/>
      </c>
      <c r="BG44" s="128" t="str">
        <f t="shared" si="10"/>
        <v/>
      </c>
      <c r="BH44" s="128" t="str">
        <f t="shared" si="10"/>
        <v/>
      </c>
      <c r="BI44" s="128" t="str">
        <f t="shared" si="10"/>
        <v/>
      </c>
      <c r="BJ44" s="128" t="str">
        <f t="shared" si="10"/>
        <v/>
      </c>
      <c r="BK44" s="128" t="str">
        <f t="shared" si="10"/>
        <v/>
      </c>
      <c r="BL44" s="128" t="str">
        <f t="shared" si="10"/>
        <v/>
      </c>
      <c r="BM44" s="128" t="str">
        <f t="shared" si="10"/>
        <v/>
      </c>
      <c r="BN44" s="128" t="str">
        <f t="shared" si="10"/>
        <v/>
      </c>
      <c r="BO44" s="128" t="str">
        <f t="shared" si="10"/>
        <v/>
      </c>
      <c r="BP44" s="128" t="str">
        <f t="shared" si="10"/>
        <v/>
      </c>
      <c r="BQ44" s="128" t="str">
        <f t="shared" si="10"/>
        <v/>
      </c>
      <c r="BR44" s="128" t="str">
        <f t="shared" si="10"/>
        <v/>
      </c>
      <c r="BS44" s="128" t="str">
        <f t="shared" si="10"/>
        <v/>
      </c>
      <c r="BT44" s="128" t="str">
        <f t="shared" ref="BT44:CX44" si="11">IF(OR(BT39&gt;$D$17,BT39=""),"",SUM(BT42:BT43))</f>
        <v/>
      </c>
      <c r="BU44" s="128" t="str">
        <f t="shared" si="11"/>
        <v/>
      </c>
      <c r="BV44" s="128" t="str">
        <f t="shared" si="11"/>
        <v/>
      </c>
      <c r="BW44" s="128" t="str">
        <f t="shared" si="11"/>
        <v/>
      </c>
      <c r="BX44" s="128" t="str">
        <f t="shared" si="11"/>
        <v/>
      </c>
      <c r="BY44" s="128" t="str">
        <f t="shared" si="11"/>
        <v/>
      </c>
      <c r="BZ44" s="128" t="str">
        <f t="shared" si="11"/>
        <v/>
      </c>
      <c r="CA44" s="128" t="str">
        <f t="shared" si="11"/>
        <v/>
      </c>
      <c r="CB44" s="128" t="str">
        <f t="shared" si="11"/>
        <v/>
      </c>
      <c r="CC44" s="128" t="str">
        <f t="shared" si="11"/>
        <v/>
      </c>
      <c r="CD44" s="128" t="str">
        <f t="shared" si="11"/>
        <v/>
      </c>
      <c r="CE44" s="128" t="str">
        <f t="shared" si="11"/>
        <v/>
      </c>
      <c r="CF44" s="128" t="str">
        <f t="shared" si="11"/>
        <v/>
      </c>
      <c r="CG44" s="128" t="str">
        <f t="shared" si="11"/>
        <v/>
      </c>
      <c r="CH44" s="128" t="str">
        <f t="shared" si="11"/>
        <v/>
      </c>
      <c r="CI44" s="128" t="str">
        <f t="shared" si="11"/>
        <v/>
      </c>
      <c r="CJ44" s="128" t="str">
        <f t="shared" si="11"/>
        <v/>
      </c>
      <c r="CK44" s="128" t="str">
        <f t="shared" si="11"/>
        <v/>
      </c>
      <c r="CL44" s="128" t="str">
        <f t="shared" si="11"/>
        <v/>
      </c>
      <c r="CM44" s="128" t="str">
        <f t="shared" si="11"/>
        <v/>
      </c>
      <c r="CN44" s="128" t="str">
        <f t="shared" si="11"/>
        <v/>
      </c>
      <c r="CO44" s="128" t="str">
        <f t="shared" si="11"/>
        <v/>
      </c>
      <c r="CP44" s="128" t="str">
        <f t="shared" si="11"/>
        <v/>
      </c>
      <c r="CQ44" s="128" t="str">
        <f t="shared" si="11"/>
        <v/>
      </c>
      <c r="CR44" s="128" t="str">
        <f t="shared" si="11"/>
        <v/>
      </c>
      <c r="CS44" s="128" t="str">
        <f t="shared" si="11"/>
        <v/>
      </c>
      <c r="CT44" s="128" t="str">
        <f t="shared" si="11"/>
        <v/>
      </c>
      <c r="CU44" s="128" t="str">
        <f t="shared" si="11"/>
        <v/>
      </c>
      <c r="CV44" s="128" t="str">
        <f t="shared" si="11"/>
        <v/>
      </c>
      <c r="CW44" s="128" t="str">
        <f t="shared" si="11"/>
        <v/>
      </c>
      <c r="CX44" s="129" t="str">
        <f t="shared" si="11"/>
        <v/>
      </c>
    </row>
    <row r="45" spans="1:102">
      <c r="A45" s="82"/>
      <c r="B45" s="93" t="s">
        <v>60</v>
      </c>
      <c r="C45" s="66" t="s">
        <v>61</v>
      </c>
      <c r="D45" s="130">
        <f>D23</f>
        <v>1.6666666666666668E-3</v>
      </c>
      <c r="E45" s="126">
        <f>NPV($D$34,G45:CX45)</f>
        <v>-151.9075951409412</v>
      </c>
      <c r="F45" s="131"/>
      <c r="G45" s="132">
        <f>IF(OR(G39&gt;$D$17,G39=""),"",-$D$45*G40)</f>
        <v>-8.3333333333333339</v>
      </c>
      <c r="H45" s="132">
        <f t="shared" ref="H45:BS45" si="12">IF(OR(H39&gt;$D$17,H39=""),"",-$D$45*H40)</f>
        <v>-8.1401980167031027</v>
      </c>
      <c r="I45" s="132">
        <f t="shared" si="12"/>
        <v>-7.9463207385648174</v>
      </c>
      <c r="J45" s="132">
        <f t="shared" si="12"/>
        <v>-7.7516986485496835</v>
      </c>
      <c r="K45" s="132">
        <f t="shared" si="12"/>
        <v>-7.5563288853387416</v>
      </c>
      <c r="L45" s="132">
        <f t="shared" si="12"/>
        <v>-7.3602085766207974</v>
      </c>
      <c r="M45" s="132">
        <f t="shared" si="12"/>
        <v>-7.1633348390501945</v>
      </c>
      <c r="N45" s="132">
        <f t="shared" si="12"/>
        <v>-6.965704778204425</v>
      </c>
      <c r="O45" s="132">
        <f t="shared" si="12"/>
        <v>-6.7673154885415743</v>
      </c>
      <c r="P45" s="132">
        <f t="shared" si="12"/>
        <v>-6.5681640533576013</v>
      </c>
      <c r="Q45" s="132">
        <f t="shared" si="12"/>
        <v>-6.368247544743463</v>
      </c>
      <c r="R45" s="132">
        <f t="shared" si="12"/>
        <v>-6.1675630235420655</v>
      </c>
      <c r="S45" s="132">
        <f t="shared" si="12"/>
        <v>-5.9661075393050531</v>
      </c>
      <c r="T45" s="132">
        <f t="shared" si="12"/>
        <v>-5.76387813024943</v>
      </c>
      <c r="U45" s="132">
        <f t="shared" si="12"/>
        <v>-5.5608718232140184</v>
      </c>
      <c r="V45" s="132">
        <f t="shared" si="12"/>
        <v>-5.3570856336157453</v>
      </c>
      <c r="W45" s="132">
        <f t="shared" si="12"/>
        <v>-5.1525165654057652</v>
      </c>
      <c r="X45" s="132">
        <f t="shared" si="12"/>
        <v>-4.947161611025412</v>
      </c>
      <c r="Y45" s="132">
        <f t="shared" si="12"/>
        <v>-4.7410177513619818</v>
      </c>
      <c r="Z45" s="132">
        <f t="shared" si="12"/>
        <v>-4.5340819557043437</v>
      </c>
      <c r="AA45" s="132">
        <f t="shared" si="12"/>
        <v>-4.3263511816983886</v>
      </c>
      <c r="AB45" s="132">
        <f t="shared" si="12"/>
        <v>-4.1178223753022927</v>
      </c>
      <c r="AC45" s="132">
        <f t="shared" si="12"/>
        <v>-3.9084924707416251</v>
      </c>
      <c r="AD45" s="132">
        <f t="shared" si="12"/>
        <v>-3.698358390464271</v>
      </c>
      <c r="AE45" s="132">
        <f t="shared" si="12"/>
        <v>-3.4874170450951838</v>
      </c>
      <c r="AF45" s="132">
        <f t="shared" si="12"/>
        <v>-3.2756653333909709</v>
      </c>
      <c r="AG45" s="132">
        <f t="shared" si="12"/>
        <v>-3.0631001421942945</v>
      </c>
      <c r="AH45" s="132">
        <f t="shared" si="12"/>
        <v>-2.8497183463881042</v>
      </c>
      <c r="AI45" s="132">
        <f t="shared" si="12"/>
        <v>-2.6355168088496916</v>
      </c>
      <c r="AJ45" s="132">
        <f t="shared" si="12"/>
        <v>-2.420492380404569</v>
      </c>
      <c r="AK45" s="132">
        <f t="shared" si="12"/>
        <v>-2.20464189978017</v>
      </c>
      <c r="AL45" s="132">
        <f t="shared" si="12"/>
        <v>-1.9879621935593719</v>
      </c>
      <c r="AM45" s="132">
        <f t="shared" si="12"/>
        <v>-1.7704500761338424</v>
      </c>
      <c r="AN45" s="132">
        <f t="shared" si="12"/>
        <v>-1.5521023496572033</v>
      </c>
      <c r="AO45" s="132">
        <f t="shared" si="12"/>
        <v>-1.3329158039980162</v>
      </c>
      <c r="AP45" s="132">
        <f t="shared" si="12"/>
        <v>-1.1128872166925885</v>
      </c>
      <c r="AQ45" s="132">
        <f t="shared" si="12"/>
        <v>-0.89201335289759576</v>
      </c>
      <c r="AR45" s="132">
        <f t="shared" si="12"/>
        <v>-0.67029096534252386</v>
      </c>
      <c r="AS45" s="132">
        <f t="shared" si="12"/>
        <v>-0.44771679428192795</v>
      </c>
      <c r="AT45" s="132">
        <f t="shared" si="12"/>
        <v>-0.22428756744750752</v>
      </c>
      <c r="AU45" s="132" t="str">
        <f t="shared" si="12"/>
        <v/>
      </c>
      <c r="AV45" s="132" t="str">
        <f t="shared" si="12"/>
        <v/>
      </c>
      <c r="AW45" s="132" t="str">
        <f t="shared" si="12"/>
        <v/>
      </c>
      <c r="AX45" s="132" t="str">
        <f t="shared" si="12"/>
        <v/>
      </c>
      <c r="AY45" s="132" t="str">
        <f t="shared" si="12"/>
        <v/>
      </c>
      <c r="AZ45" s="132" t="str">
        <f t="shared" si="12"/>
        <v/>
      </c>
      <c r="BA45" s="132" t="str">
        <f t="shared" si="12"/>
        <v/>
      </c>
      <c r="BB45" s="132" t="str">
        <f t="shared" si="12"/>
        <v/>
      </c>
      <c r="BC45" s="132" t="str">
        <f t="shared" si="12"/>
        <v/>
      </c>
      <c r="BD45" s="132" t="str">
        <f t="shared" si="12"/>
        <v/>
      </c>
      <c r="BE45" s="132" t="str">
        <f t="shared" si="12"/>
        <v/>
      </c>
      <c r="BF45" s="132" t="str">
        <f t="shared" si="12"/>
        <v/>
      </c>
      <c r="BG45" s="132" t="str">
        <f t="shared" si="12"/>
        <v/>
      </c>
      <c r="BH45" s="132" t="str">
        <f t="shared" si="12"/>
        <v/>
      </c>
      <c r="BI45" s="132" t="str">
        <f t="shared" si="12"/>
        <v/>
      </c>
      <c r="BJ45" s="132" t="str">
        <f t="shared" si="12"/>
        <v/>
      </c>
      <c r="BK45" s="132" t="str">
        <f t="shared" si="12"/>
        <v/>
      </c>
      <c r="BL45" s="132" t="str">
        <f t="shared" si="12"/>
        <v/>
      </c>
      <c r="BM45" s="132" t="str">
        <f t="shared" si="12"/>
        <v/>
      </c>
      <c r="BN45" s="132" t="str">
        <f t="shared" si="12"/>
        <v/>
      </c>
      <c r="BO45" s="132" t="str">
        <f t="shared" si="12"/>
        <v/>
      </c>
      <c r="BP45" s="132" t="str">
        <f t="shared" si="12"/>
        <v/>
      </c>
      <c r="BQ45" s="132" t="str">
        <f t="shared" si="12"/>
        <v/>
      </c>
      <c r="BR45" s="132" t="str">
        <f t="shared" si="12"/>
        <v/>
      </c>
      <c r="BS45" s="132" t="str">
        <f t="shared" si="12"/>
        <v/>
      </c>
      <c r="BT45" s="132" t="str">
        <f t="shared" ref="BT45:CX45" si="13">IF(OR(BT39&gt;$D$17,BT39=""),"",-$D$45*BT40)</f>
        <v/>
      </c>
      <c r="BU45" s="132" t="str">
        <f t="shared" si="13"/>
        <v/>
      </c>
      <c r="BV45" s="132" t="str">
        <f t="shared" si="13"/>
        <v/>
      </c>
      <c r="BW45" s="132" t="str">
        <f t="shared" si="13"/>
        <v/>
      </c>
      <c r="BX45" s="132" t="str">
        <f t="shared" si="13"/>
        <v/>
      </c>
      <c r="BY45" s="132" t="str">
        <f t="shared" si="13"/>
        <v/>
      </c>
      <c r="BZ45" s="132" t="str">
        <f t="shared" si="13"/>
        <v/>
      </c>
      <c r="CA45" s="132" t="str">
        <f t="shared" si="13"/>
        <v/>
      </c>
      <c r="CB45" s="132" t="str">
        <f t="shared" si="13"/>
        <v/>
      </c>
      <c r="CC45" s="132" t="str">
        <f t="shared" si="13"/>
        <v/>
      </c>
      <c r="CD45" s="132" t="str">
        <f t="shared" si="13"/>
        <v/>
      </c>
      <c r="CE45" s="132" t="str">
        <f t="shared" si="13"/>
        <v/>
      </c>
      <c r="CF45" s="132" t="str">
        <f t="shared" si="13"/>
        <v/>
      </c>
      <c r="CG45" s="132" t="str">
        <f t="shared" si="13"/>
        <v/>
      </c>
      <c r="CH45" s="132" t="str">
        <f t="shared" si="13"/>
        <v/>
      </c>
      <c r="CI45" s="132" t="str">
        <f t="shared" si="13"/>
        <v/>
      </c>
      <c r="CJ45" s="132" t="str">
        <f t="shared" si="13"/>
        <v/>
      </c>
      <c r="CK45" s="132" t="str">
        <f t="shared" si="13"/>
        <v/>
      </c>
      <c r="CL45" s="132" t="str">
        <f t="shared" si="13"/>
        <v/>
      </c>
      <c r="CM45" s="132" t="str">
        <f t="shared" si="13"/>
        <v/>
      </c>
      <c r="CN45" s="132" t="str">
        <f t="shared" si="13"/>
        <v/>
      </c>
      <c r="CO45" s="132" t="str">
        <f t="shared" si="13"/>
        <v/>
      </c>
      <c r="CP45" s="132" t="str">
        <f t="shared" si="13"/>
        <v/>
      </c>
      <c r="CQ45" s="132" t="str">
        <f t="shared" si="13"/>
        <v/>
      </c>
      <c r="CR45" s="132" t="str">
        <f t="shared" si="13"/>
        <v/>
      </c>
      <c r="CS45" s="132" t="str">
        <f t="shared" si="13"/>
        <v/>
      </c>
      <c r="CT45" s="132" t="str">
        <f t="shared" si="13"/>
        <v/>
      </c>
      <c r="CU45" s="132" t="str">
        <f t="shared" si="13"/>
        <v/>
      </c>
      <c r="CV45" s="132" t="str">
        <f t="shared" si="13"/>
        <v/>
      </c>
      <c r="CW45" s="132" t="str">
        <f t="shared" si="13"/>
        <v/>
      </c>
      <c r="CX45" s="133" t="str">
        <f t="shared" si="13"/>
        <v/>
      </c>
    </row>
    <row r="46" spans="1:102">
      <c r="A46" s="82"/>
      <c r="B46" s="93"/>
      <c r="C46" s="55" t="s">
        <v>62</v>
      </c>
      <c r="D46" s="125">
        <f>D24</f>
        <v>7.1000000000000004E-3</v>
      </c>
      <c r="E46" s="62">
        <f>F46</f>
        <v>-35.5</v>
      </c>
      <c r="F46" s="134">
        <f>-$D$46*G40</f>
        <v>-35.5</v>
      </c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  <c r="BT46" s="135"/>
      <c r="BU46" s="135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CT46" s="135"/>
      <c r="CU46" s="135"/>
      <c r="CV46" s="135"/>
      <c r="CW46" s="135"/>
      <c r="CX46" s="136"/>
    </row>
    <row r="47" spans="1:102">
      <c r="A47" s="82"/>
      <c r="B47" s="93"/>
      <c r="C47" s="55" t="s">
        <v>63</v>
      </c>
      <c r="D47" s="125">
        <f>D25</f>
        <v>1E-3</v>
      </c>
      <c r="E47" s="62">
        <f>NPV($D$34,G47:CX47)</f>
        <v>-91.144557084564738</v>
      </c>
      <c r="F47" s="137"/>
      <c r="G47" s="138">
        <f>IF(OR(G39&gt;$D$17,G39=""),"",-$D$47*G40)</f>
        <v>-5</v>
      </c>
      <c r="H47" s="138">
        <f t="shared" ref="H47:BS47" si="14">IF(OR(H39&gt;$D$17,H39=""),"",-$D$47*H40)</f>
        <v>-4.884118810021862</v>
      </c>
      <c r="I47" s="138">
        <f t="shared" si="14"/>
        <v>-4.7677924431388901</v>
      </c>
      <c r="J47" s="138">
        <f t="shared" si="14"/>
        <v>-4.6510191891298103</v>
      </c>
      <c r="K47" s="138">
        <f t="shared" si="14"/>
        <v>-4.5337973312032442</v>
      </c>
      <c r="L47" s="138">
        <f t="shared" si="14"/>
        <v>-4.4161251459724786</v>
      </c>
      <c r="M47" s="138">
        <f t="shared" si="14"/>
        <v>-4.2980009034301165</v>
      </c>
      <c r="N47" s="138">
        <f t="shared" si="14"/>
        <v>-4.1794228669226552</v>
      </c>
      <c r="O47" s="138">
        <f t="shared" si="14"/>
        <v>-4.0603892931249446</v>
      </c>
      <c r="P47" s="138">
        <f t="shared" si="14"/>
        <v>-3.9408984320145608</v>
      </c>
      <c r="Q47" s="138">
        <f t="shared" si="14"/>
        <v>-3.8209485268460774</v>
      </c>
      <c r="R47" s="138">
        <f t="shared" si="14"/>
        <v>-3.700537814125239</v>
      </c>
      <c r="S47" s="138">
        <f t="shared" si="14"/>
        <v>-3.5796645235830318</v>
      </c>
      <c r="T47" s="138">
        <f t="shared" si="14"/>
        <v>-3.4583268781496579</v>
      </c>
      <c r="U47" s="138">
        <f t="shared" si="14"/>
        <v>-3.3365230939284105</v>
      </c>
      <c r="V47" s="138">
        <f t="shared" si="14"/>
        <v>-3.214251380169447</v>
      </c>
      <c r="W47" s="138">
        <f t="shared" si="14"/>
        <v>-3.0915099392434593</v>
      </c>
      <c r="X47" s="138">
        <f t="shared" si="14"/>
        <v>-2.968296966615247</v>
      </c>
      <c r="Y47" s="138">
        <f t="shared" si="14"/>
        <v>-2.8446106508171889</v>
      </c>
      <c r="Z47" s="138">
        <f t="shared" si="14"/>
        <v>-2.7204491734226064</v>
      </c>
      <c r="AA47" s="138">
        <f t="shared" si="14"/>
        <v>-2.595810709019033</v>
      </c>
      <c r="AB47" s="138">
        <f t="shared" si="14"/>
        <v>-2.4706934251813757</v>
      </c>
      <c r="AC47" s="138">
        <f t="shared" si="14"/>
        <v>-2.3450954824449752</v>
      </c>
      <c r="AD47" s="138">
        <f t="shared" si="14"/>
        <v>-2.2190150342785624</v>
      </c>
      <c r="AE47" s="138">
        <f t="shared" si="14"/>
        <v>-2.0924502270571104</v>
      </c>
      <c r="AF47" s="138">
        <f t="shared" si="14"/>
        <v>-1.9653992000345826</v>
      </c>
      <c r="AG47" s="138">
        <f t="shared" si="14"/>
        <v>-1.8378600853165765</v>
      </c>
      <c r="AH47" s="138">
        <f t="shared" si="14"/>
        <v>-1.7098310078328622</v>
      </c>
      <c r="AI47" s="138">
        <f t="shared" si="14"/>
        <v>-1.581310085309815</v>
      </c>
      <c r="AJ47" s="138">
        <f t="shared" si="14"/>
        <v>-1.4522954282427414</v>
      </c>
      <c r="AK47" s="138">
        <f t="shared" si="14"/>
        <v>-1.3227851398681019</v>
      </c>
      <c r="AL47" s="138">
        <f t="shared" si="14"/>
        <v>-1.1927773161356232</v>
      </c>
      <c r="AM47" s="138">
        <f t="shared" si="14"/>
        <v>-1.0622700456803054</v>
      </c>
      <c r="AN47" s="138">
        <f t="shared" si="14"/>
        <v>-0.93126140979432193</v>
      </c>
      <c r="AO47" s="138">
        <f t="shared" si="14"/>
        <v>-0.79974948239880972</v>
      </c>
      <c r="AP47" s="138">
        <f t="shared" si="14"/>
        <v>-0.6677323300155531</v>
      </c>
      <c r="AQ47" s="138">
        <f t="shared" si="14"/>
        <v>-0.53520801173855737</v>
      </c>
      <c r="AR47" s="138">
        <f t="shared" si="14"/>
        <v>-0.4021745792055143</v>
      </c>
      <c r="AS47" s="138">
        <f t="shared" si="14"/>
        <v>-0.26863007656915677</v>
      </c>
      <c r="AT47" s="138">
        <f t="shared" si="14"/>
        <v>-0.1345725404685045</v>
      </c>
      <c r="AU47" s="138" t="str">
        <f t="shared" si="14"/>
        <v/>
      </c>
      <c r="AV47" s="138" t="str">
        <f t="shared" si="14"/>
        <v/>
      </c>
      <c r="AW47" s="138" t="str">
        <f t="shared" si="14"/>
        <v/>
      </c>
      <c r="AX47" s="138" t="str">
        <f t="shared" si="14"/>
        <v/>
      </c>
      <c r="AY47" s="138" t="str">
        <f t="shared" si="14"/>
        <v/>
      </c>
      <c r="AZ47" s="138" t="str">
        <f t="shared" si="14"/>
        <v/>
      </c>
      <c r="BA47" s="138" t="str">
        <f t="shared" si="14"/>
        <v/>
      </c>
      <c r="BB47" s="138" t="str">
        <f t="shared" si="14"/>
        <v/>
      </c>
      <c r="BC47" s="138" t="str">
        <f t="shared" si="14"/>
        <v/>
      </c>
      <c r="BD47" s="138" t="str">
        <f t="shared" si="14"/>
        <v/>
      </c>
      <c r="BE47" s="138" t="str">
        <f t="shared" si="14"/>
        <v/>
      </c>
      <c r="BF47" s="138" t="str">
        <f t="shared" si="14"/>
        <v/>
      </c>
      <c r="BG47" s="138" t="str">
        <f t="shared" si="14"/>
        <v/>
      </c>
      <c r="BH47" s="138" t="str">
        <f t="shared" si="14"/>
        <v/>
      </c>
      <c r="BI47" s="138" t="str">
        <f t="shared" si="14"/>
        <v/>
      </c>
      <c r="BJ47" s="138" t="str">
        <f t="shared" si="14"/>
        <v/>
      </c>
      <c r="BK47" s="138" t="str">
        <f t="shared" si="14"/>
        <v/>
      </c>
      <c r="BL47" s="138" t="str">
        <f t="shared" si="14"/>
        <v/>
      </c>
      <c r="BM47" s="138" t="str">
        <f t="shared" si="14"/>
        <v/>
      </c>
      <c r="BN47" s="138" t="str">
        <f t="shared" si="14"/>
        <v/>
      </c>
      <c r="BO47" s="138" t="str">
        <f t="shared" si="14"/>
        <v/>
      </c>
      <c r="BP47" s="138" t="str">
        <f t="shared" si="14"/>
        <v/>
      </c>
      <c r="BQ47" s="138" t="str">
        <f t="shared" si="14"/>
        <v/>
      </c>
      <c r="BR47" s="138" t="str">
        <f t="shared" si="14"/>
        <v/>
      </c>
      <c r="BS47" s="138" t="str">
        <f t="shared" si="14"/>
        <v/>
      </c>
      <c r="BT47" s="138" t="str">
        <f t="shared" ref="BT47:CX47" si="15">IF(OR(BT39&gt;$D$17,BT39=""),"",-$D$47*BT40)</f>
        <v/>
      </c>
      <c r="BU47" s="138" t="str">
        <f t="shared" si="15"/>
        <v/>
      </c>
      <c r="BV47" s="138" t="str">
        <f t="shared" si="15"/>
        <v/>
      </c>
      <c r="BW47" s="138" t="str">
        <f t="shared" si="15"/>
        <v/>
      </c>
      <c r="BX47" s="138" t="str">
        <f t="shared" si="15"/>
        <v/>
      </c>
      <c r="BY47" s="138" t="str">
        <f t="shared" si="15"/>
        <v/>
      </c>
      <c r="BZ47" s="138" t="str">
        <f t="shared" si="15"/>
        <v/>
      </c>
      <c r="CA47" s="138" t="str">
        <f t="shared" si="15"/>
        <v/>
      </c>
      <c r="CB47" s="138" t="str">
        <f t="shared" si="15"/>
        <v/>
      </c>
      <c r="CC47" s="138" t="str">
        <f t="shared" si="15"/>
        <v/>
      </c>
      <c r="CD47" s="138" t="str">
        <f t="shared" si="15"/>
        <v/>
      </c>
      <c r="CE47" s="138" t="str">
        <f t="shared" si="15"/>
        <v/>
      </c>
      <c r="CF47" s="138" t="str">
        <f t="shared" si="15"/>
        <v/>
      </c>
      <c r="CG47" s="138" t="str">
        <f t="shared" si="15"/>
        <v/>
      </c>
      <c r="CH47" s="138" t="str">
        <f t="shared" si="15"/>
        <v/>
      </c>
      <c r="CI47" s="138" t="str">
        <f t="shared" si="15"/>
        <v/>
      </c>
      <c r="CJ47" s="138" t="str">
        <f t="shared" si="15"/>
        <v/>
      </c>
      <c r="CK47" s="138" t="str">
        <f t="shared" si="15"/>
        <v/>
      </c>
      <c r="CL47" s="138" t="str">
        <f t="shared" si="15"/>
        <v/>
      </c>
      <c r="CM47" s="138" t="str">
        <f t="shared" si="15"/>
        <v/>
      </c>
      <c r="CN47" s="138" t="str">
        <f t="shared" si="15"/>
        <v/>
      </c>
      <c r="CO47" s="138" t="str">
        <f t="shared" si="15"/>
        <v/>
      </c>
      <c r="CP47" s="138" t="str">
        <f t="shared" si="15"/>
        <v/>
      </c>
      <c r="CQ47" s="138" t="str">
        <f t="shared" si="15"/>
        <v/>
      </c>
      <c r="CR47" s="138" t="str">
        <f t="shared" si="15"/>
        <v/>
      </c>
      <c r="CS47" s="138" t="str">
        <f t="shared" si="15"/>
        <v/>
      </c>
      <c r="CT47" s="138" t="str">
        <f t="shared" si="15"/>
        <v/>
      </c>
      <c r="CU47" s="138" t="str">
        <f t="shared" si="15"/>
        <v/>
      </c>
      <c r="CV47" s="138" t="str">
        <f t="shared" si="15"/>
        <v/>
      </c>
      <c r="CW47" s="138" t="str">
        <f t="shared" si="15"/>
        <v/>
      </c>
      <c r="CX47" s="139" t="str">
        <f t="shared" si="15"/>
        <v/>
      </c>
    </row>
    <row r="48" spans="1:102">
      <c r="A48" s="82"/>
      <c r="B48" s="93"/>
      <c r="C48" s="140" t="s">
        <v>64</v>
      </c>
      <c r="D48" s="141">
        <f>D26</f>
        <v>3.3000000000000002E-2</v>
      </c>
      <c r="E48" s="62">
        <f>NPV($D$34,G48:CX48)</f>
        <v>-11.5548512243957</v>
      </c>
      <c r="F48" s="137"/>
      <c r="G48" s="138">
        <f>IF(OR(G39&gt;$D$17,G39=""),"",-$D$48*G44)</f>
        <v>-0.63387500000000008</v>
      </c>
      <c r="H48" s="138">
        <f t="shared" ref="H48:BS48" si="16">IF(OR(H39&gt;$D$17,H39=""),"",-$D$48*H44)</f>
        <v>-0.61918416214052141</v>
      </c>
      <c r="I48" s="138">
        <f t="shared" si="16"/>
        <v>-0.60443688697893294</v>
      </c>
      <c r="J48" s="138">
        <f t="shared" si="16"/>
        <v>-0.58963295770193169</v>
      </c>
      <c r="K48" s="138">
        <f t="shared" si="16"/>
        <v>-0.5747721566632914</v>
      </c>
      <c r="L48" s="138">
        <f t="shared" si="16"/>
        <v>-0.55985426538066108</v>
      </c>
      <c r="M48" s="138">
        <f t="shared" si="16"/>
        <v>-0.54487906453235302</v>
      </c>
      <c r="N48" s="138">
        <f t="shared" si="16"/>
        <v>-0.52984633395411984</v>
      </c>
      <c r="O48" s="138">
        <f t="shared" si="16"/>
        <v>-0.51475585263591495</v>
      </c>
      <c r="P48" s="138">
        <f t="shared" si="16"/>
        <v>-0.49960739871864601</v>
      </c>
      <c r="Q48" s="138">
        <f t="shared" si="16"/>
        <v>-0.48440074949091166</v>
      </c>
      <c r="R48" s="138">
        <f t="shared" si="16"/>
        <v>-0.46913568138572731</v>
      </c>
      <c r="S48" s="138">
        <f t="shared" si="16"/>
        <v>-0.45381196997723899</v>
      </c>
      <c r="T48" s="138">
        <f t="shared" si="16"/>
        <v>-0.43842938997742292</v>
      </c>
      <c r="U48" s="138">
        <f t="shared" si="16"/>
        <v>-0.42298771523277434</v>
      </c>
      <c r="V48" s="138">
        <f t="shared" si="16"/>
        <v>-0.4074867187209818</v>
      </c>
      <c r="W48" s="138">
        <f t="shared" si="16"/>
        <v>-0.39192617254758966</v>
      </c>
      <c r="X48" s="138">
        <f t="shared" si="16"/>
        <v>-0.3763058479426481</v>
      </c>
      <c r="Y48" s="138">
        <f t="shared" si="16"/>
        <v>-0.36062551525734926</v>
      </c>
      <c r="Z48" s="138">
        <f t="shared" si="16"/>
        <v>-0.34488494396065106</v>
      </c>
      <c r="AA48" s="138">
        <f t="shared" si="16"/>
        <v>-0.32908390263588805</v>
      </c>
      <c r="AB48" s="138">
        <f t="shared" si="16"/>
        <v>-0.31322215897736905</v>
      </c>
      <c r="AC48" s="138">
        <f t="shared" si="16"/>
        <v>-0.29729947978696186</v>
      </c>
      <c r="AD48" s="138">
        <f t="shared" si="16"/>
        <v>-0.28131563097066487</v>
      </c>
      <c r="AE48" s="138">
        <f t="shared" si="16"/>
        <v>-0.26527037753516536</v>
      </c>
      <c r="AF48" s="138">
        <f t="shared" si="16"/>
        <v>-0.24916348358438437</v>
      </c>
      <c r="AG48" s="138">
        <f t="shared" si="16"/>
        <v>-0.23299471231600916</v>
      </c>
      <c r="AH48" s="138">
        <f t="shared" si="16"/>
        <v>-0.21676382601801131</v>
      </c>
      <c r="AI48" s="138">
        <f t="shared" si="16"/>
        <v>-0.20047058606515192</v>
      </c>
      <c r="AJ48" s="138">
        <f t="shared" si="16"/>
        <v>-0.18411475291547369</v>
      </c>
      <c r="AK48" s="138">
        <f t="shared" si="16"/>
        <v>-0.16769608610677875</v>
      </c>
      <c r="AL48" s="138">
        <f t="shared" si="16"/>
        <v>-0.15121434425309377</v>
      </c>
      <c r="AM48" s="138">
        <f t="shared" si="16"/>
        <v>-0.13466928504112086</v>
      </c>
      <c r="AN48" s="138">
        <f t="shared" si="16"/>
        <v>-0.1180606652266753</v>
      </c>
      <c r="AO48" s="138">
        <f t="shared" si="16"/>
        <v>-0.10138824063110924</v>
      </c>
      <c r="AP48" s="138">
        <f t="shared" si="16"/>
        <v>-8.4651766137721879E-2</v>
      </c>
      <c r="AQ48" s="138">
        <f t="shared" si="16"/>
        <v>-6.7850995688155752E-2</v>
      </c>
      <c r="AR48" s="138">
        <f t="shared" si="16"/>
        <v>-5.0985682278779212E-2</v>
      </c>
      <c r="AS48" s="138">
        <f t="shared" si="16"/>
        <v>-3.405557795705498E-2</v>
      </c>
      <c r="AT48" s="138">
        <f t="shared" si="16"/>
        <v>-1.7060433817894793E-2</v>
      </c>
      <c r="AU48" s="138" t="str">
        <f t="shared" si="16"/>
        <v/>
      </c>
      <c r="AV48" s="138" t="str">
        <f t="shared" si="16"/>
        <v/>
      </c>
      <c r="AW48" s="138" t="str">
        <f t="shared" si="16"/>
        <v/>
      </c>
      <c r="AX48" s="138" t="str">
        <f t="shared" si="16"/>
        <v/>
      </c>
      <c r="AY48" s="138" t="str">
        <f t="shared" si="16"/>
        <v/>
      </c>
      <c r="AZ48" s="138" t="str">
        <f t="shared" si="16"/>
        <v/>
      </c>
      <c r="BA48" s="138" t="str">
        <f t="shared" si="16"/>
        <v/>
      </c>
      <c r="BB48" s="138" t="str">
        <f t="shared" si="16"/>
        <v/>
      </c>
      <c r="BC48" s="138" t="str">
        <f t="shared" si="16"/>
        <v/>
      </c>
      <c r="BD48" s="138" t="str">
        <f t="shared" si="16"/>
        <v/>
      </c>
      <c r="BE48" s="138" t="str">
        <f t="shared" si="16"/>
        <v/>
      </c>
      <c r="BF48" s="138" t="str">
        <f t="shared" si="16"/>
        <v/>
      </c>
      <c r="BG48" s="138" t="str">
        <f t="shared" si="16"/>
        <v/>
      </c>
      <c r="BH48" s="138" t="str">
        <f t="shared" si="16"/>
        <v/>
      </c>
      <c r="BI48" s="138" t="str">
        <f t="shared" si="16"/>
        <v/>
      </c>
      <c r="BJ48" s="138" t="str">
        <f t="shared" si="16"/>
        <v/>
      </c>
      <c r="BK48" s="138" t="str">
        <f t="shared" si="16"/>
        <v/>
      </c>
      <c r="BL48" s="138" t="str">
        <f t="shared" si="16"/>
        <v/>
      </c>
      <c r="BM48" s="138" t="str">
        <f t="shared" si="16"/>
        <v/>
      </c>
      <c r="BN48" s="138" t="str">
        <f t="shared" si="16"/>
        <v/>
      </c>
      <c r="BO48" s="138" t="str">
        <f t="shared" si="16"/>
        <v/>
      </c>
      <c r="BP48" s="138" t="str">
        <f t="shared" si="16"/>
        <v/>
      </c>
      <c r="BQ48" s="138" t="str">
        <f t="shared" si="16"/>
        <v/>
      </c>
      <c r="BR48" s="138" t="str">
        <f t="shared" si="16"/>
        <v/>
      </c>
      <c r="BS48" s="138" t="str">
        <f t="shared" si="16"/>
        <v/>
      </c>
      <c r="BT48" s="138" t="str">
        <f t="shared" ref="BT48:CX48" si="17">IF(OR(BT39&gt;$D$17,BT39=""),"",-$D$48*BT44)</f>
        <v/>
      </c>
      <c r="BU48" s="138" t="str">
        <f t="shared" si="17"/>
        <v/>
      </c>
      <c r="BV48" s="138" t="str">
        <f t="shared" si="17"/>
        <v/>
      </c>
      <c r="BW48" s="138" t="str">
        <f t="shared" si="17"/>
        <v/>
      </c>
      <c r="BX48" s="138" t="str">
        <f t="shared" si="17"/>
        <v/>
      </c>
      <c r="BY48" s="138" t="str">
        <f t="shared" si="17"/>
        <v/>
      </c>
      <c r="BZ48" s="138" t="str">
        <f t="shared" si="17"/>
        <v/>
      </c>
      <c r="CA48" s="138" t="str">
        <f t="shared" si="17"/>
        <v/>
      </c>
      <c r="CB48" s="138" t="str">
        <f t="shared" si="17"/>
        <v/>
      </c>
      <c r="CC48" s="138" t="str">
        <f t="shared" si="17"/>
        <v/>
      </c>
      <c r="CD48" s="138" t="str">
        <f t="shared" si="17"/>
        <v/>
      </c>
      <c r="CE48" s="138" t="str">
        <f t="shared" si="17"/>
        <v/>
      </c>
      <c r="CF48" s="138" t="str">
        <f t="shared" si="17"/>
        <v/>
      </c>
      <c r="CG48" s="138" t="str">
        <f t="shared" si="17"/>
        <v/>
      </c>
      <c r="CH48" s="138" t="str">
        <f t="shared" si="17"/>
        <v/>
      </c>
      <c r="CI48" s="138" t="str">
        <f t="shared" si="17"/>
        <v/>
      </c>
      <c r="CJ48" s="138" t="str">
        <f t="shared" si="17"/>
        <v/>
      </c>
      <c r="CK48" s="138" t="str">
        <f t="shared" si="17"/>
        <v/>
      </c>
      <c r="CL48" s="138" t="str">
        <f t="shared" si="17"/>
        <v/>
      </c>
      <c r="CM48" s="138" t="str">
        <f t="shared" si="17"/>
        <v/>
      </c>
      <c r="CN48" s="138" t="str">
        <f t="shared" si="17"/>
        <v/>
      </c>
      <c r="CO48" s="138" t="str">
        <f t="shared" si="17"/>
        <v/>
      </c>
      <c r="CP48" s="138" t="str">
        <f t="shared" si="17"/>
        <v/>
      </c>
      <c r="CQ48" s="138" t="str">
        <f t="shared" si="17"/>
        <v/>
      </c>
      <c r="CR48" s="138" t="str">
        <f t="shared" si="17"/>
        <v/>
      </c>
      <c r="CS48" s="138" t="str">
        <f t="shared" si="17"/>
        <v/>
      </c>
      <c r="CT48" s="138" t="str">
        <f t="shared" si="17"/>
        <v/>
      </c>
      <c r="CU48" s="138" t="str">
        <f t="shared" si="17"/>
        <v/>
      </c>
      <c r="CV48" s="138" t="str">
        <f t="shared" si="17"/>
        <v/>
      </c>
      <c r="CW48" s="138" t="str">
        <f t="shared" si="17"/>
        <v/>
      </c>
      <c r="CX48" s="139" t="str">
        <f t="shared" si="17"/>
        <v/>
      </c>
    </row>
    <row r="49" spans="2:102">
      <c r="B49" s="93"/>
      <c r="C49" s="66" t="s">
        <v>65</v>
      </c>
      <c r="D49" s="66"/>
      <c r="E49" s="126">
        <f>NPV($D$34,G49:CX49)+F49</f>
        <v>-138.19940830896041</v>
      </c>
      <c r="F49" s="142">
        <f>F46</f>
        <v>-35.5</v>
      </c>
      <c r="G49" s="143">
        <f>IF(OR(G39&gt;$D$17,G39=""),"",SUM(G46:G48))</f>
        <v>-5.6338749999999997</v>
      </c>
      <c r="H49" s="143">
        <f t="shared" ref="H49:BS49" si="18">IF(OR(H39&gt;$D$17,H39=""),"",SUM(H46:H48))</f>
        <v>-5.5033029721623832</v>
      </c>
      <c r="I49" s="143">
        <f t="shared" si="18"/>
        <v>-5.3722293301178228</v>
      </c>
      <c r="J49" s="143">
        <f t="shared" si="18"/>
        <v>-5.2406521468317422</v>
      </c>
      <c r="K49" s="143">
        <f t="shared" si="18"/>
        <v>-5.1085694878665358</v>
      </c>
      <c r="L49" s="143">
        <f t="shared" si="18"/>
        <v>-4.9759794113531397</v>
      </c>
      <c r="M49" s="143">
        <f t="shared" si="18"/>
        <v>-4.8428799679624692</v>
      </c>
      <c r="N49" s="143">
        <f t="shared" si="18"/>
        <v>-4.7092692008767747</v>
      </c>
      <c r="O49" s="143">
        <f t="shared" si="18"/>
        <v>-4.5751451457608594</v>
      </c>
      <c r="P49" s="143">
        <f t="shared" si="18"/>
        <v>-4.4405058307332066</v>
      </c>
      <c r="Q49" s="143">
        <f t="shared" si="18"/>
        <v>-4.3053492763369894</v>
      </c>
      <c r="R49" s="143">
        <f t="shared" si="18"/>
        <v>-4.169673495510966</v>
      </c>
      <c r="S49" s="143">
        <f t="shared" si="18"/>
        <v>-4.0334764935602712</v>
      </c>
      <c r="T49" s="143">
        <f t="shared" si="18"/>
        <v>-3.8967562681270809</v>
      </c>
      <c r="U49" s="143">
        <f t="shared" si="18"/>
        <v>-3.7595108091611849</v>
      </c>
      <c r="V49" s="143">
        <f t="shared" si="18"/>
        <v>-3.6217380988904289</v>
      </c>
      <c r="W49" s="143">
        <f t="shared" si="18"/>
        <v>-3.4834361117910491</v>
      </c>
      <c r="X49" s="143">
        <f t="shared" si="18"/>
        <v>-3.344602814557895</v>
      </c>
      <c r="Y49" s="143">
        <f t="shared" si="18"/>
        <v>-3.2052361660745383</v>
      </c>
      <c r="Z49" s="143">
        <f t="shared" si="18"/>
        <v>-3.0653341173832573</v>
      </c>
      <c r="AA49" s="143">
        <f t="shared" si="18"/>
        <v>-2.924894611654921</v>
      </c>
      <c r="AB49" s="143">
        <f t="shared" si="18"/>
        <v>-2.7839155841587448</v>
      </c>
      <c r="AC49" s="143">
        <f t="shared" si="18"/>
        <v>-2.6423949622319371</v>
      </c>
      <c r="AD49" s="143">
        <f t="shared" si="18"/>
        <v>-2.5003306652492272</v>
      </c>
      <c r="AE49" s="143">
        <f t="shared" si="18"/>
        <v>-2.3577206045922758</v>
      </c>
      <c r="AF49" s="143">
        <f t="shared" si="18"/>
        <v>-2.2145626836189671</v>
      </c>
      <c r="AG49" s="143">
        <f t="shared" si="18"/>
        <v>-2.0708547976325855</v>
      </c>
      <c r="AH49" s="143">
        <f t="shared" si="18"/>
        <v>-1.9265948338508736</v>
      </c>
      <c r="AI49" s="143">
        <f t="shared" si="18"/>
        <v>-1.7817806713749669</v>
      </c>
      <c r="AJ49" s="143">
        <f t="shared" si="18"/>
        <v>-1.636410181158215</v>
      </c>
      <c r="AK49" s="143">
        <f t="shared" si="18"/>
        <v>-1.4904812259748805</v>
      </c>
      <c r="AL49" s="143">
        <f t="shared" si="18"/>
        <v>-1.343991660388717</v>
      </c>
      <c r="AM49" s="143">
        <f t="shared" si="18"/>
        <v>-1.1969393307214262</v>
      </c>
      <c r="AN49" s="143">
        <f t="shared" si="18"/>
        <v>-1.0493220750209973</v>
      </c>
      <c r="AO49" s="143">
        <f t="shared" si="18"/>
        <v>-0.9011377230299189</v>
      </c>
      <c r="AP49" s="143">
        <f t="shared" si="18"/>
        <v>-0.75238409615327495</v>
      </c>
      <c r="AQ49" s="143">
        <f t="shared" si="18"/>
        <v>-0.60305900742671315</v>
      </c>
      <c r="AR49" s="143">
        <f t="shared" si="18"/>
        <v>-0.4531602614842935</v>
      </c>
      <c r="AS49" s="143">
        <f t="shared" si="18"/>
        <v>-0.30268565452621177</v>
      </c>
      <c r="AT49" s="143">
        <f t="shared" si="18"/>
        <v>-0.1516329742863993</v>
      </c>
      <c r="AU49" s="143" t="str">
        <f t="shared" si="18"/>
        <v/>
      </c>
      <c r="AV49" s="143" t="str">
        <f t="shared" si="18"/>
        <v/>
      </c>
      <c r="AW49" s="143" t="str">
        <f t="shared" si="18"/>
        <v/>
      </c>
      <c r="AX49" s="143" t="str">
        <f t="shared" si="18"/>
        <v/>
      </c>
      <c r="AY49" s="143" t="str">
        <f t="shared" si="18"/>
        <v/>
      </c>
      <c r="AZ49" s="143" t="str">
        <f t="shared" si="18"/>
        <v/>
      </c>
      <c r="BA49" s="143" t="str">
        <f t="shared" si="18"/>
        <v/>
      </c>
      <c r="BB49" s="143" t="str">
        <f t="shared" si="18"/>
        <v/>
      </c>
      <c r="BC49" s="143" t="str">
        <f t="shared" si="18"/>
        <v/>
      </c>
      <c r="BD49" s="143" t="str">
        <f t="shared" si="18"/>
        <v/>
      </c>
      <c r="BE49" s="143" t="str">
        <f t="shared" si="18"/>
        <v/>
      </c>
      <c r="BF49" s="143" t="str">
        <f t="shared" si="18"/>
        <v/>
      </c>
      <c r="BG49" s="143" t="str">
        <f t="shared" si="18"/>
        <v/>
      </c>
      <c r="BH49" s="143" t="str">
        <f t="shared" si="18"/>
        <v/>
      </c>
      <c r="BI49" s="143" t="str">
        <f t="shared" si="18"/>
        <v/>
      </c>
      <c r="BJ49" s="143" t="str">
        <f t="shared" si="18"/>
        <v/>
      </c>
      <c r="BK49" s="143" t="str">
        <f t="shared" si="18"/>
        <v/>
      </c>
      <c r="BL49" s="143" t="str">
        <f t="shared" si="18"/>
        <v/>
      </c>
      <c r="BM49" s="143" t="str">
        <f t="shared" si="18"/>
        <v/>
      </c>
      <c r="BN49" s="143" t="str">
        <f t="shared" si="18"/>
        <v/>
      </c>
      <c r="BO49" s="143" t="str">
        <f t="shared" si="18"/>
        <v/>
      </c>
      <c r="BP49" s="143" t="str">
        <f t="shared" si="18"/>
        <v/>
      </c>
      <c r="BQ49" s="143" t="str">
        <f t="shared" si="18"/>
        <v/>
      </c>
      <c r="BR49" s="143" t="str">
        <f t="shared" si="18"/>
        <v/>
      </c>
      <c r="BS49" s="143" t="str">
        <f t="shared" si="18"/>
        <v/>
      </c>
      <c r="BT49" s="143" t="str">
        <f t="shared" ref="BT49:CX49" si="19">IF(OR(BT39&gt;$D$17,BT39=""),"",SUM(BT46:BT48))</f>
        <v/>
      </c>
      <c r="BU49" s="143" t="str">
        <f t="shared" si="19"/>
        <v/>
      </c>
      <c r="BV49" s="143" t="str">
        <f t="shared" si="19"/>
        <v/>
      </c>
      <c r="BW49" s="143" t="str">
        <f t="shared" si="19"/>
        <v/>
      </c>
      <c r="BX49" s="143" t="str">
        <f t="shared" si="19"/>
        <v/>
      </c>
      <c r="BY49" s="143" t="str">
        <f t="shared" si="19"/>
        <v/>
      </c>
      <c r="BZ49" s="143" t="str">
        <f t="shared" si="19"/>
        <v/>
      </c>
      <c r="CA49" s="143" t="str">
        <f t="shared" si="19"/>
        <v/>
      </c>
      <c r="CB49" s="143" t="str">
        <f t="shared" si="19"/>
        <v/>
      </c>
      <c r="CC49" s="143" t="str">
        <f t="shared" si="19"/>
        <v/>
      </c>
      <c r="CD49" s="143" t="str">
        <f t="shared" si="19"/>
        <v/>
      </c>
      <c r="CE49" s="143" t="str">
        <f t="shared" si="19"/>
        <v/>
      </c>
      <c r="CF49" s="143" t="str">
        <f t="shared" si="19"/>
        <v/>
      </c>
      <c r="CG49" s="143" t="str">
        <f t="shared" si="19"/>
        <v/>
      </c>
      <c r="CH49" s="143" t="str">
        <f t="shared" si="19"/>
        <v/>
      </c>
      <c r="CI49" s="143" t="str">
        <f t="shared" si="19"/>
        <v/>
      </c>
      <c r="CJ49" s="143" t="str">
        <f t="shared" si="19"/>
        <v/>
      </c>
      <c r="CK49" s="143" t="str">
        <f t="shared" si="19"/>
        <v/>
      </c>
      <c r="CL49" s="143" t="str">
        <f t="shared" si="19"/>
        <v/>
      </c>
      <c r="CM49" s="143" t="str">
        <f t="shared" si="19"/>
        <v/>
      </c>
      <c r="CN49" s="143" t="str">
        <f t="shared" si="19"/>
        <v/>
      </c>
      <c r="CO49" s="143" t="str">
        <f t="shared" si="19"/>
        <v/>
      </c>
      <c r="CP49" s="143" t="str">
        <f t="shared" si="19"/>
        <v/>
      </c>
      <c r="CQ49" s="143" t="str">
        <f t="shared" si="19"/>
        <v/>
      </c>
      <c r="CR49" s="143" t="str">
        <f t="shared" si="19"/>
        <v/>
      </c>
      <c r="CS49" s="143" t="str">
        <f t="shared" si="19"/>
        <v/>
      </c>
      <c r="CT49" s="143" t="str">
        <f t="shared" si="19"/>
        <v/>
      </c>
      <c r="CU49" s="143" t="str">
        <f t="shared" si="19"/>
        <v/>
      </c>
      <c r="CV49" s="143" t="str">
        <f t="shared" si="19"/>
        <v/>
      </c>
      <c r="CW49" s="143" t="str">
        <f t="shared" si="19"/>
        <v/>
      </c>
      <c r="CX49" s="144" t="str">
        <f t="shared" si="19"/>
        <v/>
      </c>
    </row>
    <row r="50" spans="2:102">
      <c r="B50" s="93"/>
      <c r="C50" s="55" t="s">
        <v>37</v>
      </c>
      <c r="D50" s="55"/>
      <c r="E50" s="62"/>
      <c r="F50" s="137"/>
      <c r="G50" s="145">
        <f>IF(OR(G39&gt;$D$17,G39=""),"",PD!D27)</f>
        <v>1.9193971146370598E-3</v>
      </c>
      <c r="H50" s="145">
        <f>IF(OR(H39&gt;$D$17,H39=""),"",PD!E27)</f>
        <v>2.0742147020677069E-3</v>
      </c>
      <c r="I50" s="145">
        <f>IF(OR(I39&gt;$D$17,I39=""),"",PD!F27)</f>
        <v>2.0801771651355453E-3</v>
      </c>
      <c r="J50" s="145">
        <f>IF(OR(J39&gt;$D$17,J39=""),"",PD!G27)</f>
        <v>2.0309204880828062E-3</v>
      </c>
      <c r="K50" s="145">
        <f>IF(OR(K39&gt;$D$17,K39=""),"",PD!H27)</f>
        <v>1.9939335339668181E-3</v>
      </c>
      <c r="L50" s="145">
        <f>IF(OR(L39&gt;$D$17,L39=""),"",PD!I27)</f>
        <v>2.0169880170679212E-3</v>
      </c>
      <c r="M50" s="145">
        <f>IF(OR(M39&gt;$D$17,M39=""),"",PD!J27)</f>
        <v>2.0043887673540143E-3</v>
      </c>
      <c r="N50" s="145">
        <f>IF(OR(N39&gt;$D$17,N39=""),"",PD!K27)</f>
        <v>2.0225166651866777E-3</v>
      </c>
      <c r="O50" s="145">
        <f>IF(OR(O39&gt;$D$17,O39=""),"",PD!L27)</f>
        <v>2.0596862194604869E-3</v>
      </c>
      <c r="P50" s="145">
        <f>IF(OR(P39&gt;$D$17,P39=""),"",PD!M27)</f>
        <v>2.0458886426302243E-3</v>
      </c>
      <c r="Q50" s="145">
        <f>IF(OR(Q39&gt;$D$17,Q39=""),"",PD!N27)</f>
        <v>2.0341882124103555E-3</v>
      </c>
      <c r="R50" s="145">
        <f>IF(OR(R39&gt;$D$17,R39=""),"",PD!O27)</f>
        <v>2.0692609518614797E-3</v>
      </c>
      <c r="S50" s="145">
        <f>IF(OR(S39&gt;$D$17,S39=""),"",PD!P27)</f>
        <v>2.0598284269672997E-3</v>
      </c>
      <c r="T50" s="145">
        <f>IF(OR(T39&gt;$D$17,T39=""),"",PD!Q27)</f>
        <v>2.0442662097725182E-3</v>
      </c>
      <c r="U50" s="145">
        <f>IF(OR(U39&gt;$D$17,U39=""),"",PD!R27)</f>
        <v>2.0377166080631937E-3</v>
      </c>
      <c r="V50" s="145">
        <f>IF(OR(V39&gt;$D$17,V39=""),"",PD!S27)</f>
        <v>2.0668820980087343E-3</v>
      </c>
      <c r="W50" s="145">
        <f>IF(OR(W39&gt;$D$17,W39=""),"",PD!T27)</f>
        <v>2.0870267663680646E-3</v>
      </c>
      <c r="X50" s="145">
        <f>IF(OR(X39&gt;$D$17,X39=""),"",PD!U27)</f>
        <v>2.0804771646587396E-3</v>
      </c>
      <c r="Y50" s="145">
        <f>IF(OR(Y39&gt;$D$17,Y39=""),"",PD!V27)</f>
        <v>2.059007697958375E-3</v>
      </c>
      <c r="Z50" s="145">
        <f>IF(OR(Z39&gt;$D$17,Z39=""),"",PD!W27)</f>
        <v>2.0454619195025519E-3</v>
      </c>
      <c r="AA50" s="145">
        <f>IF(OR(AA39&gt;$D$17,AA39=""),"",PD!X27)</f>
        <v>2.0739807201162015E-3</v>
      </c>
      <c r="AB50" s="145">
        <f>IF(OR(AB39&gt;$D$17,AB39=""),"",PD!Y27)</f>
        <v>2.06404526204856E-3</v>
      </c>
      <c r="AC50" s="145">
        <f>IF(OR(AC39&gt;$D$17,AC39=""),"",PD!Z27)</f>
        <v>2.0467184044892601E-3</v>
      </c>
      <c r="AD50" s="145">
        <f>IF(OR(AD39&gt;$D$17,AD39=""),"",PD!AA27)</f>
        <v>2.0321644066639581E-3</v>
      </c>
      <c r="AE50" s="145">
        <f>IF(OR(AE39&gt;$D$17,AE39=""),"",PD!AB27)</f>
        <v>2.0135778631484485E-3</v>
      </c>
      <c r="AF50" s="145">
        <f>IF(OR(AF39&gt;$D$17,AF39=""),"",PD!AC27)</f>
        <v>2.0431048831315774E-3</v>
      </c>
      <c r="AG50" s="145">
        <f>IF(OR(AG39&gt;$D$17,AG39=""),"",PD!AD27)</f>
        <v>2.0604766917569103E-3</v>
      </c>
      <c r="AH50" s="145">
        <f>IF(OR(AH39&gt;$D$17,AH39=""),"",PD!AE27)</f>
        <v>2.0459226939316079E-3</v>
      </c>
      <c r="AI50" s="145">
        <f>IF(OR(AI39&gt;$D$17,AI39=""),"",PD!AF27)</f>
        <v>2.0273361504160987E-3</v>
      </c>
      <c r="AJ50" s="145">
        <f>IF(OR(AJ39&gt;$D$17,AJ39=""),"",PD!AG27)</f>
        <v>2.0100092928567988E-3</v>
      </c>
      <c r="AK50" s="145">
        <f>IF(OR(AK39&gt;$D$17,AK39=""),"",PD!AH27)</f>
        <v>1.9914227493412892E-3</v>
      </c>
      <c r="AL50" s="145">
        <f>IF(OR(AL39&gt;$D$17,AL39=""),"",PD!AI27)</f>
        <v>1.9740958917819893E-3</v>
      </c>
      <c r="AM50" s="145">
        <f>IF(OR(AM39&gt;$D$17,AM39=""),"",PD!AJ27)</f>
        <v>1.9555093482664797E-3</v>
      </c>
      <c r="AN50" s="145">
        <f>IF(OR(AN39&gt;$D$17,AN39=""),"",PD!AK27)</f>
        <v>1.9850363682496091E-3</v>
      </c>
      <c r="AO50" s="145">
        <f>IF(OR(AO39&gt;$D$17,AO39=""),"",PD!AL27)</f>
        <v>1.9695842145056853E-3</v>
      </c>
      <c r="AP50" s="145">
        <f>IF(OR(AP39&gt;$D$17,AP39=""),"",PD!AM27)</f>
        <v>1.9522573569463856E-3</v>
      </c>
      <c r="AQ50" s="145">
        <f>IF(OR(AQ39&gt;$D$17,AQ39=""),"",PD!AN27)</f>
        <v>1.9336708134308764E-3</v>
      </c>
      <c r="AR50" s="145">
        <f>IF(OR(AR39&gt;$D$17,AR39=""),"",PD!AO27)</f>
        <v>1.9564449171534841E-3</v>
      </c>
      <c r="AS50" s="145">
        <f>IF(OR(AS39&gt;$D$17,AS39=""),"",PD!AP27)</f>
        <v>1.9378583736379741E-3</v>
      </c>
      <c r="AT50" s="145">
        <f>IF(OR(AT39&gt;$D$17,AT39=""),"",PD!AQ27)</f>
        <v>1.9236659058502609E-3</v>
      </c>
      <c r="AU50" s="145" t="str">
        <f>IF(OR(AU39&gt;$D$17,AU39=""),"",PD!AR27)</f>
        <v/>
      </c>
      <c r="AV50" s="145" t="str">
        <f>IF(OR(AV39&gt;$D$17,AV39=""),"",PD!AS27)</f>
        <v/>
      </c>
      <c r="AW50" s="145" t="str">
        <f>IF(OR(AW39&gt;$D$17,AW39=""),"",PD!AT27)</f>
        <v/>
      </c>
      <c r="AX50" s="145" t="str">
        <f>IF(OR(AX39&gt;$D$17,AX39=""),"",PD!AU27)</f>
        <v/>
      </c>
      <c r="AY50" s="145" t="str">
        <f>IF(OR(AY39&gt;$D$17,AY39=""),"",PD!AV27)</f>
        <v/>
      </c>
      <c r="AZ50" s="145" t="str">
        <f>IF(OR(AZ39&gt;$D$17,AZ39=""),"",PD!AW27)</f>
        <v/>
      </c>
      <c r="BA50" s="145" t="str">
        <f>IF(OR(BA39&gt;$D$17,BA39=""),"",PD!AX27)</f>
        <v/>
      </c>
      <c r="BB50" s="145" t="str">
        <f>IF(OR(BB39&gt;$D$17,BB39=""),"",PD!AY27)</f>
        <v/>
      </c>
      <c r="BC50" s="145" t="str">
        <f>IF(OR(BC39&gt;$D$17,BC39=""),"",PD!AZ27)</f>
        <v/>
      </c>
      <c r="BD50" s="145" t="str">
        <f>IF(OR(BD39&gt;$D$17,BD39=""),"",PD!BA27)</f>
        <v/>
      </c>
      <c r="BE50" s="145" t="str">
        <f>IF(OR(BE39&gt;$D$17,BE39=""),"",PD!BB27)</f>
        <v/>
      </c>
      <c r="BF50" s="145" t="str">
        <f>IF(OR(BF39&gt;$D$17,BF39=""),"",PD!BC27)</f>
        <v/>
      </c>
      <c r="BG50" s="145" t="str">
        <f>IF(OR(BG39&gt;$D$17,BG39=""),"",PD!BD27)</f>
        <v/>
      </c>
      <c r="BH50" s="145" t="str">
        <f>IF(OR(BH39&gt;$D$17,BH39=""),"",PD!BE27)</f>
        <v/>
      </c>
      <c r="BI50" s="145" t="str">
        <f>IF(OR(BI39&gt;$D$17,BI39=""),"",PD!BF27)</f>
        <v/>
      </c>
      <c r="BJ50" s="145" t="str">
        <f>IF(OR(BJ39&gt;$D$17,BJ39=""),"",PD!BG27)</f>
        <v/>
      </c>
      <c r="BK50" s="145" t="str">
        <f>IF(OR(BK39&gt;$D$17,BK39=""),"",PD!BH27)</f>
        <v/>
      </c>
      <c r="BL50" s="145" t="str">
        <f>IF(OR(BL39&gt;$D$17,BL39=""),"",PD!BI27)</f>
        <v/>
      </c>
      <c r="BM50" s="145" t="str">
        <f>IF(OR(BM39&gt;$D$17,BM39=""),"",PD!BJ27)</f>
        <v/>
      </c>
      <c r="BN50" s="145" t="str">
        <f>IF(OR(BN39&gt;$D$17,BN39=""),"",PD!BK27)</f>
        <v/>
      </c>
      <c r="BO50" s="145" t="str">
        <f>IF(OR(BO39&gt;$D$17,BO39=""),"",PD!BL27)</f>
        <v/>
      </c>
      <c r="BP50" s="145" t="str">
        <f>IF(OR(BP39&gt;$D$17,BP39=""),"",PD!BM27)</f>
        <v/>
      </c>
      <c r="BQ50" s="145" t="str">
        <f>IF(OR(BQ39&gt;$D$17,BQ39=""),"",PD!BN27)</f>
        <v/>
      </c>
      <c r="BR50" s="145" t="str">
        <f>IF(OR(BR39&gt;$D$17,BR39=""),"",PD!BO27)</f>
        <v/>
      </c>
      <c r="BS50" s="145" t="str">
        <f>IF(OR(BS39&gt;$D$17,BS39=""),"",PD!BP27)</f>
        <v/>
      </c>
      <c r="BT50" s="145" t="str">
        <f>IF(OR(BT39&gt;$D$17,BT39=""),"",PD!BQ27)</f>
        <v/>
      </c>
      <c r="BU50" s="145" t="str">
        <f>IF(OR(BU39&gt;$D$17,BU39=""),"",PD!BR27)</f>
        <v/>
      </c>
      <c r="BV50" s="145" t="str">
        <f>IF(OR(BV39&gt;$D$17,BV39=""),"",PD!BS27)</f>
        <v/>
      </c>
      <c r="BW50" s="145" t="str">
        <f>IF(OR(BW39&gt;$D$17,BW39=""),"",PD!BT27)</f>
        <v/>
      </c>
      <c r="BX50" s="145" t="str">
        <f>IF(OR(BX39&gt;$D$17,BX39=""),"",PD!BU27)</f>
        <v/>
      </c>
      <c r="BY50" s="145" t="str">
        <f>IF(OR(BY39&gt;$D$17,BY39=""),"",PD!BV27)</f>
        <v/>
      </c>
      <c r="BZ50" s="145" t="str">
        <f>IF(OR(BZ39&gt;$D$17,BZ39=""),"",PD!BW27)</f>
        <v/>
      </c>
      <c r="CA50" s="145" t="str">
        <f>IF(OR(CA39&gt;$D$17,CA39=""),"",PD!BX27)</f>
        <v/>
      </c>
      <c r="CB50" s="145" t="str">
        <f>IF(OR(CB39&gt;$D$17,CB39=""),"",PD!BY27)</f>
        <v/>
      </c>
      <c r="CC50" s="145" t="str">
        <f>IF(OR(CC39&gt;$D$17,CC39=""),"",PD!BZ27)</f>
        <v/>
      </c>
      <c r="CD50" s="145" t="str">
        <f>IF(OR(CD39&gt;$D$17,CD39=""),"",PD!CA27)</f>
        <v/>
      </c>
      <c r="CE50" s="145" t="str">
        <f>IF(OR(CE39&gt;$D$17,CE39=""),"",PD!CB27)</f>
        <v/>
      </c>
      <c r="CF50" s="145" t="str">
        <f>IF(OR(CF39&gt;$D$17,CF39=""),"",PD!CC27)</f>
        <v/>
      </c>
      <c r="CG50" s="145" t="str">
        <f>IF(OR(CG39&gt;$D$17,CG39=""),"",PD!CD27)</f>
        <v/>
      </c>
      <c r="CH50" s="145" t="str">
        <f>IF(OR(CH39&gt;$D$17,CH39=""),"",PD!CE27)</f>
        <v/>
      </c>
      <c r="CI50" s="145" t="str">
        <f>IF(OR(CI39&gt;$D$17,CI39=""),"",PD!CF27)</f>
        <v/>
      </c>
      <c r="CJ50" s="145" t="str">
        <f>IF(OR(CJ39&gt;$D$17,CJ39=""),"",PD!CG27)</f>
        <v/>
      </c>
      <c r="CK50" s="145" t="str">
        <f>IF(OR(CK39&gt;$D$17,CK39=""),"",PD!CH27)</f>
        <v/>
      </c>
      <c r="CL50" s="145" t="str">
        <f>IF(OR(CL39&gt;$D$17,CL39=""),"",PD!CI27)</f>
        <v/>
      </c>
      <c r="CM50" s="145" t="str">
        <f>IF(OR(CM39&gt;$D$17,CM39=""),"",PD!CJ27)</f>
        <v/>
      </c>
      <c r="CN50" s="145" t="str">
        <f>IF(OR(CN39&gt;$D$17,CN39=""),"",PD!CK27)</f>
        <v/>
      </c>
      <c r="CO50" s="145" t="str">
        <f>IF(OR(CO39&gt;$D$17,CO39=""),"",PD!CL27)</f>
        <v/>
      </c>
      <c r="CP50" s="145" t="str">
        <f>IF(OR(CP39&gt;$D$17,CP39=""),"",PD!CM27)</f>
        <v/>
      </c>
      <c r="CQ50" s="145" t="str">
        <f>IF(OR(CQ39&gt;$D$17,CQ39=""),"",PD!CN27)</f>
        <v/>
      </c>
      <c r="CR50" s="145" t="str">
        <f>IF(OR(CR39&gt;$D$17,CR39=""),"",PD!CO27)</f>
        <v/>
      </c>
      <c r="CS50" s="145" t="str">
        <f>IF(OR(CS39&gt;$D$17,CS39=""),"",PD!CP27)</f>
        <v/>
      </c>
      <c r="CT50" s="145" t="str">
        <f>IF(OR(CT39&gt;$D$17,CT39=""),"",PD!CQ27)</f>
        <v/>
      </c>
      <c r="CU50" s="145" t="str">
        <f>IF(OR(CU39&gt;$D$17,CU39=""),"",PD!CR27)</f>
        <v/>
      </c>
      <c r="CV50" s="145" t="str">
        <f>IF(OR(CV39&gt;$D$17,CV39=""),"",PD!CS27)</f>
        <v/>
      </c>
      <c r="CW50" s="145" t="str">
        <f>IF(OR(CW39&gt;$D$17,CW39=""),"",PD!CT27)</f>
        <v/>
      </c>
      <c r="CX50" s="146" t="str">
        <f>IF(OR(CX39&gt;$D$17,CX39=""),"",PD!CU27)</f>
        <v/>
      </c>
    </row>
    <row r="51" spans="2:102">
      <c r="B51" s="93"/>
      <c r="C51" s="55" t="s">
        <v>66</v>
      </c>
      <c r="D51" s="147">
        <f>D29</f>
        <v>1.03</v>
      </c>
      <c r="E51" s="62"/>
      <c r="F51" s="137"/>
      <c r="G51" s="138">
        <f>IF(OR(G39&gt;$D$17,G39=""),"",1.03)</f>
        <v>1.03</v>
      </c>
      <c r="H51" s="138">
        <f t="shared" ref="H51:BS51" si="20">IF(OR(H39&gt;$D$17,H39=""),"",1.03)</f>
        <v>1.03</v>
      </c>
      <c r="I51" s="138">
        <f t="shared" si="20"/>
        <v>1.03</v>
      </c>
      <c r="J51" s="138">
        <f t="shared" si="20"/>
        <v>1.03</v>
      </c>
      <c r="K51" s="138">
        <f t="shared" si="20"/>
        <v>1.03</v>
      </c>
      <c r="L51" s="138">
        <f t="shared" si="20"/>
        <v>1.03</v>
      </c>
      <c r="M51" s="138">
        <f t="shared" si="20"/>
        <v>1.03</v>
      </c>
      <c r="N51" s="138">
        <f t="shared" si="20"/>
        <v>1.03</v>
      </c>
      <c r="O51" s="138">
        <f t="shared" si="20"/>
        <v>1.03</v>
      </c>
      <c r="P51" s="138">
        <f t="shared" si="20"/>
        <v>1.03</v>
      </c>
      <c r="Q51" s="138">
        <f t="shared" si="20"/>
        <v>1.03</v>
      </c>
      <c r="R51" s="138">
        <f t="shared" si="20"/>
        <v>1.03</v>
      </c>
      <c r="S51" s="138">
        <f t="shared" si="20"/>
        <v>1.03</v>
      </c>
      <c r="T51" s="138">
        <f t="shared" si="20"/>
        <v>1.03</v>
      </c>
      <c r="U51" s="138">
        <f t="shared" si="20"/>
        <v>1.03</v>
      </c>
      <c r="V51" s="138">
        <f t="shared" si="20"/>
        <v>1.03</v>
      </c>
      <c r="W51" s="138">
        <f t="shared" si="20"/>
        <v>1.03</v>
      </c>
      <c r="X51" s="138">
        <f t="shared" si="20"/>
        <v>1.03</v>
      </c>
      <c r="Y51" s="138">
        <f t="shared" si="20"/>
        <v>1.03</v>
      </c>
      <c r="Z51" s="138">
        <f t="shared" si="20"/>
        <v>1.03</v>
      </c>
      <c r="AA51" s="138">
        <f t="shared" si="20"/>
        <v>1.03</v>
      </c>
      <c r="AB51" s="138">
        <f t="shared" si="20"/>
        <v>1.03</v>
      </c>
      <c r="AC51" s="138">
        <f t="shared" si="20"/>
        <v>1.03</v>
      </c>
      <c r="AD51" s="138">
        <f t="shared" si="20"/>
        <v>1.03</v>
      </c>
      <c r="AE51" s="138">
        <f t="shared" si="20"/>
        <v>1.03</v>
      </c>
      <c r="AF51" s="138">
        <f t="shared" si="20"/>
        <v>1.03</v>
      </c>
      <c r="AG51" s="138">
        <f t="shared" si="20"/>
        <v>1.03</v>
      </c>
      <c r="AH51" s="138">
        <f t="shared" si="20"/>
        <v>1.03</v>
      </c>
      <c r="AI51" s="138">
        <f t="shared" si="20"/>
        <v>1.03</v>
      </c>
      <c r="AJ51" s="138">
        <f t="shared" si="20"/>
        <v>1.03</v>
      </c>
      <c r="AK51" s="138">
        <f t="shared" si="20"/>
        <v>1.03</v>
      </c>
      <c r="AL51" s="138">
        <f t="shared" si="20"/>
        <v>1.03</v>
      </c>
      <c r="AM51" s="138">
        <f t="shared" si="20"/>
        <v>1.03</v>
      </c>
      <c r="AN51" s="138">
        <f t="shared" si="20"/>
        <v>1.03</v>
      </c>
      <c r="AO51" s="138">
        <f t="shared" si="20"/>
        <v>1.03</v>
      </c>
      <c r="AP51" s="138">
        <f t="shared" si="20"/>
        <v>1.03</v>
      </c>
      <c r="AQ51" s="138">
        <f t="shared" si="20"/>
        <v>1.03</v>
      </c>
      <c r="AR51" s="138">
        <f t="shared" si="20"/>
        <v>1.03</v>
      </c>
      <c r="AS51" s="138">
        <f t="shared" si="20"/>
        <v>1.03</v>
      </c>
      <c r="AT51" s="138">
        <f t="shared" si="20"/>
        <v>1.03</v>
      </c>
      <c r="AU51" s="138" t="str">
        <f t="shared" si="20"/>
        <v/>
      </c>
      <c r="AV51" s="138" t="str">
        <f t="shared" si="20"/>
        <v/>
      </c>
      <c r="AW51" s="138" t="str">
        <f t="shared" si="20"/>
        <v/>
      </c>
      <c r="AX51" s="138" t="str">
        <f t="shared" si="20"/>
        <v/>
      </c>
      <c r="AY51" s="138" t="str">
        <f t="shared" si="20"/>
        <v/>
      </c>
      <c r="AZ51" s="138" t="str">
        <f t="shared" si="20"/>
        <v/>
      </c>
      <c r="BA51" s="138" t="str">
        <f t="shared" si="20"/>
        <v/>
      </c>
      <c r="BB51" s="138" t="str">
        <f t="shared" si="20"/>
        <v/>
      </c>
      <c r="BC51" s="138" t="str">
        <f t="shared" si="20"/>
        <v/>
      </c>
      <c r="BD51" s="138" t="str">
        <f t="shared" si="20"/>
        <v/>
      </c>
      <c r="BE51" s="138" t="str">
        <f t="shared" si="20"/>
        <v/>
      </c>
      <c r="BF51" s="138" t="str">
        <f t="shared" si="20"/>
        <v/>
      </c>
      <c r="BG51" s="138" t="str">
        <f t="shared" si="20"/>
        <v/>
      </c>
      <c r="BH51" s="138" t="str">
        <f t="shared" si="20"/>
        <v/>
      </c>
      <c r="BI51" s="138" t="str">
        <f t="shared" si="20"/>
        <v/>
      </c>
      <c r="BJ51" s="138" t="str">
        <f t="shared" si="20"/>
        <v/>
      </c>
      <c r="BK51" s="138" t="str">
        <f t="shared" si="20"/>
        <v/>
      </c>
      <c r="BL51" s="138" t="str">
        <f t="shared" si="20"/>
        <v/>
      </c>
      <c r="BM51" s="138" t="str">
        <f t="shared" si="20"/>
        <v/>
      </c>
      <c r="BN51" s="138" t="str">
        <f t="shared" si="20"/>
        <v/>
      </c>
      <c r="BO51" s="138" t="str">
        <f t="shared" si="20"/>
        <v/>
      </c>
      <c r="BP51" s="138" t="str">
        <f t="shared" si="20"/>
        <v/>
      </c>
      <c r="BQ51" s="138" t="str">
        <f t="shared" si="20"/>
        <v/>
      </c>
      <c r="BR51" s="138" t="str">
        <f t="shared" si="20"/>
        <v/>
      </c>
      <c r="BS51" s="138" t="str">
        <f t="shared" si="20"/>
        <v/>
      </c>
      <c r="BT51" s="138" t="str">
        <f t="shared" ref="BT51:CX51" si="21">IF(OR(BT39&gt;$D$17,BT39=""),"",1.03)</f>
        <v/>
      </c>
      <c r="BU51" s="138" t="str">
        <f t="shared" si="21"/>
        <v/>
      </c>
      <c r="BV51" s="138" t="str">
        <f t="shared" si="21"/>
        <v/>
      </c>
      <c r="BW51" s="138" t="str">
        <f t="shared" si="21"/>
        <v/>
      </c>
      <c r="BX51" s="138" t="str">
        <f t="shared" si="21"/>
        <v/>
      </c>
      <c r="BY51" s="138" t="str">
        <f t="shared" si="21"/>
        <v/>
      </c>
      <c r="BZ51" s="138" t="str">
        <f t="shared" si="21"/>
        <v/>
      </c>
      <c r="CA51" s="138" t="str">
        <f t="shared" si="21"/>
        <v/>
      </c>
      <c r="CB51" s="138" t="str">
        <f t="shared" si="21"/>
        <v/>
      </c>
      <c r="CC51" s="138" t="str">
        <f t="shared" si="21"/>
        <v/>
      </c>
      <c r="CD51" s="138" t="str">
        <f t="shared" si="21"/>
        <v/>
      </c>
      <c r="CE51" s="138" t="str">
        <f t="shared" si="21"/>
        <v/>
      </c>
      <c r="CF51" s="138" t="str">
        <f t="shared" si="21"/>
        <v/>
      </c>
      <c r="CG51" s="138" t="str">
        <f t="shared" si="21"/>
        <v/>
      </c>
      <c r="CH51" s="138" t="str">
        <f t="shared" si="21"/>
        <v/>
      </c>
      <c r="CI51" s="138" t="str">
        <f t="shared" si="21"/>
        <v/>
      </c>
      <c r="CJ51" s="138" t="str">
        <f t="shared" si="21"/>
        <v/>
      </c>
      <c r="CK51" s="138" t="str">
        <f t="shared" si="21"/>
        <v/>
      </c>
      <c r="CL51" s="138" t="str">
        <f t="shared" si="21"/>
        <v/>
      </c>
      <c r="CM51" s="138" t="str">
        <f t="shared" si="21"/>
        <v/>
      </c>
      <c r="CN51" s="138" t="str">
        <f t="shared" si="21"/>
        <v/>
      </c>
      <c r="CO51" s="138" t="str">
        <f t="shared" si="21"/>
        <v/>
      </c>
      <c r="CP51" s="138" t="str">
        <f t="shared" si="21"/>
        <v/>
      </c>
      <c r="CQ51" s="138" t="str">
        <f t="shared" si="21"/>
        <v/>
      </c>
      <c r="CR51" s="138" t="str">
        <f t="shared" si="21"/>
        <v/>
      </c>
      <c r="CS51" s="138" t="str">
        <f t="shared" si="21"/>
        <v/>
      </c>
      <c r="CT51" s="138" t="str">
        <f t="shared" si="21"/>
        <v/>
      </c>
      <c r="CU51" s="138" t="str">
        <f t="shared" si="21"/>
        <v/>
      </c>
      <c r="CV51" s="138" t="str">
        <f t="shared" si="21"/>
        <v/>
      </c>
      <c r="CW51" s="138" t="str">
        <f t="shared" si="21"/>
        <v/>
      </c>
      <c r="CX51" s="139" t="str">
        <f t="shared" si="21"/>
        <v/>
      </c>
    </row>
    <row r="52" spans="2:102">
      <c r="B52" s="93"/>
      <c r="C52" s="55" t="s">
        <v>67</v>
      </c>
      <c r="D52" s="147">
        <f>D28</f>
        <v>0.3342</v>
      </c>
      <c r="E52" s="62"/>
      <c r="F52" s="137"/>
      <c r="G52" s="138">
        <f>IF(OR(G39&gt;$D$17,G39=""),"",0.33)</f>
        <v>0.33</v>
      </c>
      <c r="H52" s="138">
        <f t="shared" ref="H52:BS52" si="22">IF(OR(H39&gt;$D$17,H39=""),"",0.33)</f>
        <v>0.33</v>
      </c>
      <c r="I52" s="138">
        <f t="shared" si="22"/>
        <v>0.33</v>
      </c>
      <c r="J52" s="138">
        <f t="shared" si="22"/>
        <v>0.33</v>
      </c>
      <c r="K52" s="138">
        <f t="shared" si="22"/>
        <v>0.33</v>
      </c>
      <c r="L52" s="138">
        <f t="shared" si="22"/>
        <v>0.33</v>
      </c>
      <c r="M52" s="138">
        <f t="shared" si="22"/>
        <v>0.33</v>
      </c>
      <c r="N52" s="138">
        <f t="shared" si="22"/>
        <v>0.33</v>
      </c>
      <c r="O52" s="138">
        <f t="shared" si="22"/>
        <v>0.33</v>
      </c>
      <c r="P52" s="138">
        <f t="shared" si="22"/>
        <v>0.33</v>
      </c>
      <c r="Q52" s="138">
        <f t="shared" si="22"/>
        <v>0.33</v>
      </c>
      <c r="R52" s="138">
        <f t="shared" si="22"/>
        <v>0.33</v>
      </c>
      <c r="S52" s="138">
        <f t="shared" si="22"/>
        <v>0.33</v>
      </c>
      <c r="T52" s="138">
        <f t="shared" si="22"/>
        <v>0.33</v>
      </c>
      <c r="U52" s="138">
        <f t="shared" si="22"/>
        <v>0.33</v>
      </c>
      <c r="V52" s="138">
        <f t="shared" si="22"/>
        <v>0.33</v>
      </c>
      <c r="W52" s="138">
        <f t="shared" si="22"/>
        <v>0.33</v>
      </c>
      <c r="X52" s="138">
        <f t="shared" si="22"/>
        <v>0.33</v>
      </c>
      <c r="Y52" s="138">
        <f t="shared" si="22"/>
        <v>0.33</v>
      </c>
      <c r="Z52" s="138">
        <f t="shared" si="22"/>
        <v>0.33</v>
      </c>
      <c r="AA52" s="138">
        <f t="shared" si="22"/>
        <v>0.33</v>
      </c>
      <c r="AB52" s="138">
        <f t="shared" si="22"/>
        <v>0.33</v>
      </c>
      <c r="AC52" s="138">
        <f t="shared" si="22"/>
        <v>0.33</v>
      </c>
      <c r="AD52" s="138">
        <f t="shared" si="22"/>
        <v>0.33</v>
      </c>
      <c r="AE52" s="138">
        <f t="shared" si="22"/>
        <v>0.33</v>
      </c>
      <c r="AF52" s="138">
        <f t="shared" si="22"/>
        <v>0.33</v>
      </c>
      <c r="AG52" s="138">
        <f t="shared" si="22"/>
        <v>0.33</v>
      </c>
      <c r="AH52" s="138">
        <f t="shared" si="22"/>
        <v>0.33</v>
      </c>
      <c r="AI52" s="138">
        <f t="shared" si="22"/>
        <v>0.33</v>
      </c>
      <c r="AJ52" s="138">
        <f t="shared" si="22"/>
        <v>0.33</v>
      </c>
      <c r="AK52" s="138">
        <f t="shared" si="22"/>
        <v>0.33</v>
      </c>
      <c r="AL52" s="138">
        <f t="shared" si="22"/>
        <v>0.33</v>
      </c>
      <c r="AM52" s="138">
        <f t="shared" si="22"/>
        <v>0.33</v>
      </c>
      <c r="AN52" s="138">
        <f t="shared" si="22"/>
        <v>0.33</v>
      </c>
      <c r="AO52" s="138">
        <f t="shared" si="22"/>
        <v>0.33</v>
      </c>
      <c r="AP52" s="138">
        <f t="shared" si="22"/>
        <v>0.33</v>
      </c>
      <c r="AQ52" s="138">
        <f t="shared" si="22"/>
        <v>0.33</v>
      </c>
      <c r="AR52" s="138">
        <f t="shared" si="22"/>
        <v>0.33</v>
      </c>
      <c r="AS52" s="138">
        <f t="shared" si="22"/>
        <v>0.33</v>
      </c>
      <c r="AT52" s="138">
        <f t="shared" si="22"/>
        <v>0.33</v>
      </c>
      <c r="AU52" s="138" t="str">
        <f t="shared" si="22"/>
        <v/>
      </c>
      <c r="AV52" s="138" t="str">
        <f t="shared" si="22"/>
        <v/>
      </c>
      <c r="AW52" s="138" t="str">
        <f t="shared" si="22"/>
        <v/>
      </c>
      <c r="AX52" s="138" t="str">
        <f t="shared" si="22"/>
        <v/>
      </c>
      <c r="AY52" s="138" t="str">
        <f t="shared" si="22"/>
        <v/>
      </c>
      <c r="AZ52" s="138" t="str">
        <f t="shared" si="22"/>
        <v/>
      </c>
      <c r="BA52" s="138" t="str">
        <f t="shared" si="22"/>
        <v/>
      </c>
      <c r="BB52" s="138" t="str">
        <f t="shared" si="22"/>
        <v/>
      </c>
      <c r="BC52" s="138" t="str">
        <f t="shared" si="22"/>
        <v/>
      </c>
      <c r="BD52" s="138" t="str">
        <f t="shared" si="22"/>
        <v/>
      </c>
      <c r="BE52" s="138" t="str">
        <f t="shared" si="22"/>
        <v/>
      </c>
      <c r="BF52" s="138" t="str">
        <f t="shared" si="22"/>
        <v/>
      </c>
      <c r="BG52" s="138" t="str">
        <f t="shared" si="22"/>
        <v/>
      </c>
      <c r="BH52" s="138" t="str">
        <f t="shared" si="22"/>
        <v/>
      </c>
      <c r="BI52" s="138" t="str">
        <f t="shared" si="22"/>
        <v/>
      </c>
      <c r="BJ52" s="138" t="str">
        <f t="shared" si="22"/>
        <v/>
      </c>
      <c r="BK52" s="138" t="str">
        <f t="shared" si="22"/>
        <v/>
      </c>
      <c r="BL52" s="138" t="str">
        <f t="shared" si="22"/>
        <v/>
      </c>
      <c r="BM52" s="138" t="str">
        <f t="shared" si="22"/>
        <v/>
      </c>
      <c r="BN52" s="138" t="str">
        <f t="shared" si="22"/>
        <v/>
      </c>
      <c r="BO52" s="138" t="str">
        <f t="shared" si="22"/>
        <v/>
      </c>
      <c r="BP52" s="138" t="str">
        <f t="shared" si="22"/>
        <v/>
      </c>
      <c r="BQ52" s="138" t="str">
        <f t="shared" si="22"/>
        <v/>
      </c>
      <c r="BR52" s="138" t="str">
        <f t="shared" si="22"/>
        <v/>
      </c>
      <c r="BS52" s="138" t="str">
        <f t="shared" si="22"/>
        <v/>
      </c>
      <c r="BT52" s="138" t="str">
        <f t="shared" ref="BT52:CX52" si="23">IF(OR(BT39&gt;$D$17,BT39=""),"",0.33)</f>
        <v/>
      </c>
      <c r="BU52" s="138" t="str">
        <f t="shared" si="23"/>
        <v/>
      </c>
      <c r="BV52" s="138" t="str">
        <f t="shared" si="23"/>
        <v/>
      </c>
      <c r="BW52" s="138" t="str">
        <f t="shared" si="23"/>
        <v/>
      </c>
      <c r="BX52" s="138" t="str">
        <f t="shared" si="23"/>
        <v/>
      </c>
      <c r="BY52" s="138" t="str">
        <f t="shared" si="23"/>
        <v/>
      </c>
      <c r="BZ52" s="138" t="str">
        <f t="shared" si="23"/>
        <v/>
      </c>
      <c r="CA52" s="138" t="str">
        <f t="shared" si="23"/>
        <v/>
      </c>
      <c r="CB52" s="138" t="str">
        <f t="shared" si="23"/>
        <v/>
      </c>
      <c r="CC52" s="138" t="str">
        <f t="shared" si="23"/>
        <v/>
      </c>
      <c r="CD52" s="138" t="str">
        <f t="shared" si="23"/>
        <v/>
      </c>
      <c r="CE52" s="138" t="str">
        <f t="shared" si="23"/>
        <v/>
      </c>
      <c r="CF52" s="138" t="str">
        <f t="shared" si="23"/>
        <v/>
      </c>
      <c r="CG52" s="138" t="str">
        <f t="shared" si="23"/>
        <v/>
      </c>
      <c r="CH52" s="138" t="str">
        <f t="shared" si="23"/>
        <v/>
      </c>
      <c r="CI52" s="138" t="str">
        <f t="shared" si="23"/>
        <v/>
      </c>
      <c r="CJ52" s="138" t="str">
        <f t="shared" si="23"/>
        <v/>
      </c>
      <c r="CK52" s="138" t="str">
        <f t="shared" si="23"/>
        <v/>
      </c>
      <c r="CL52" s="138" t="str">
        <f t="shared" si="23"/>
        <v/>
      </c>
      <c r="CM52" s="138" t="str">
        <f t="shared" si="23"/>
        <v/>
      </c>
      <c r="CN52" s="138" t="str">
        <f t="shared" si="23"/>
        <v/>
      </c>
      <c r="CO52" s="138" t="str">
        <f t="shared" si="23"/>
        <v/>
      </c>
      <c r="CP52" s="138" t="str">
        <f t="shared" si="23"/>
        <v/>
      </c>
      <c r="CQ52" s="138" t="str">
        <f t="shared" si="23"/>
        <v/>
      </c>
      <c r="CR52" s="138" t="str">
        <f t="shared" si="23"/>
        <v/>
      </c>
      <c r="CS52" s="138" t="str">
        <f t="shared" si="23"/>
        <v/>
      </c>
      <c r="CT52" s="138" t="str">
        <f t="shared" si="23"/>
        <v/>
      </c>
      <c r="CU52" s="138" t="str">
        <f t="shared" si="23"/>
        <v/>
      </c>
      <c r="CV52" s="138" t="str">
        <f t="shared" si="23"/>
        <v/>
      </c>
      <c r="CW52" s="138" t="str">
        <f t="shared" si="23"/>
        <v/>
      </c>
      <c r="CX52" s="139" t="str">
        <f t="shared" si="23"/>
        <v/>
      </c>
    </row>
    <row r="53" spans="2:102">
      <c r="B53" s="93"/>
      <c r="C53" s="55" t="s">
        <v>68</v>
      </c>
      <c r="D53" s="148">
        <f>SUM(G53:AT53)*12/40</f>
        <v>8.0020818582095202E-3</v>
      </c>
      <c r="E53" s="149"/>
      <c r="F53" s="137"/>
      <c r="G53" s="138">
        <f>IF(OR(G39&gt;$D$17,G39=""),"",G52*G50)</f>
        <v>6.3340104783022981E-4</v>
      </c>
      <c r="H53" s="138">
        <f t="shared" ref="H53:BS53" si="24">IF(OR(H39&gt;$D$17,H39=""),"",H52*H50)</f>
        <v>6.844908516823433E-4</v>
      </c>
      <c r="I53" s="138">
        <f t="shared" si="24"/>
        <v>6.8645846449473004E-4</v>
      </c>
      <c r="J53" s="138">
        <f t="shared" si="24"/>
        <v>6.702037610673261E-4</v>
      </c>
      <c r="K53" s="138">
        <f t="shared" si="24"/>
        <v>6.5799806620904999E-4</v>
      </c>
      <c r="L53" s="138">
        <f t="shared" si="24"/>
        <v>6.6560604563241409E-4</v>
      </c>
      <c r="M53" s="138">
        <f t="shared" si="24"/>
        <v>6.6144829322682479E-4</v>
      </c>
      <c r="N53" s="138">
        <f t="shared" si="24"/>
        <v>6.6743049951160363E-4</v>
      </c>
      <c r="O53" s="138">
        <f t="shared" si="24"/>
        <v>6.7969645242196071E-4</v>
      </c>
      <c r="P53" s="138">
        <f t="shared" si="24"/>
        <v>6.7514325206797403E-4</v>
      </c>
      <c r="Q53" s="138">
        <f t="shared" si="24"/>
        <v>6.7128211009541731E-4</v>
      </c>
      <c r="R53" s="138">
        <f t="shared" si="24"/>
        <v>6.8285611411428835E-4</v>
      </c>
      <c r="S53" s="138">
        <f t="shared" si="24"/>
        <v>6.7974338089920889E-4</v>
      </c>
      <c r="T53" s="138">
        <f t="shared" si="24"/>
        <v>6.7460784922493107E-4</v>
      </c>
      <c r="U53" s="138">
        <f t="shared" si="24"/>
        <v>6.7244648066085394E-4</v>
      </c>
      <c r="V53" s="138">
        <f t="shared" si="24"/>
        <v>6.8207109234288239E-4</v>
      </c>
      <c r="W53" s="138">
        <f t="shared" si="24"/>
        <v>6.8871883290146129E-4</v>
      </c>
      <c r="X53" s="138">
        <f t="shared" si="24"/>
        <v>6.8655746433738416E-4</v>
      </c>
      <c r="Y53" s="138">
        <f t="shared" si="24"/>
        <v>6.7947254032626374E-4</v>
      </c>
      <c r="Z53" s="138">
        <f t="shared" si="24"/>
        <v>6.7500243343584219E-4</v>
      </c>
      <c r="AA53" s="138">
        <f t="shared" si="24"/>
        <v>6.8441363763834656E-4</v>
      </c>
      <c r="AB53" s="138">
        <f t="shared" si="24"/>
        <v>6.8113493647602478E-4</v>
      </c>
      <c r="AC53" s="138">
        <f t="shared" si="24"/>
        <v>6.7541707348145583E-4</v>
      </c>
      <c r="AD53" s="138">
        <f t="shared" si="24"/>
        <v>6.7061425419910625E-4</v>
      </c>
      <c r="AE53" s="138">
        <f t="shared" si="24"/>
        <v>6.6448069483898806E-4</v>
      </c>
      <c r="AF53" s="138">
        <f t="shared" si="24"/>
        <v>6.7422461143342056E-4</v>
      </c>
      <c r="AG53" s="138">
        <f t="shared" si="24"/>
        <v>6.7995730827978041E-4</v>
      </c>
      <c r="AH53" s="138">
        <f t="shared" si="24"/>
        <v>6.7515448899743062E-4</v>
      </c>
      <c r="AI53" s="138">
        <f t="shared" si="24"/>
        <v>6.6902092963731254E-4</v>
      </c>
      <c r="AJ53" s="138">
        <f t="shared" si="24"/>
        <v>6.6330306664274359E-4</v>
      </c>
      <c r="AK53" s="138">
        <f t="shared" si="24"/>
        <v>6.571695072826255E-4</v>
      </c>
      <c r="AL53" s="138">
        <f t="shared" si="24"/>
        <v>6.5145164428805655E-4</v>
      </c>
      <c r="AM53" s="138">
        <f t="shared" si="24"/>
        <v>6.4531808492793836E-4</v>
      </c>
      <c r="AN53" s="138">
        <f t="shared" si="24"/>
        <v>6.5506200152237108E-4</v>
      </c>
      <c r="AO53" s="138">
        <f t="shared" si="24"/>
        <v>6.4996279078687622E-4</v>
      </c>
      <c r="AP53" s="138">
        <f t="shared" si="24"/>
        <v>6.4424492779230726E-4</v>
      </c>
      <c r="AQ53" s="138">
        <f t="shared" si="24"/>
        <v>6.3811136843218929E-4</v>
      </c>
      <c r="AR53" s="138">
        <f t="shared" si="24"/>
        <v>6.4562682266064984E-4</v>
      </c>
      <c r="AS53" s="138">
        <f t="shared" si="24"/>
        <v>6.3949326330053143E-4</v>
      </c>
      <c r="AT53" s="138">
        <f t="shared" si="24"/>
        <v>6.3480974893058613E-4</v>
      </c>
      <c r="AU53" s="138" t="str">
        <f t="shared" si="24"/>
        <v/>
      </c>
      <c r="AV53" s="138" t="str">
        <f t="shared" si="24"/>
        <v/>
      </c>
      <c r="AW53" s="138" t="str">
        <f t="shared" si="24"/>
        <v/>
      </c>
      <c r="AX53" s="138" t="str">
        <f t="shared" si="24"/>
        <v/>
      </c>
      <c r="AY53" s="138" t="str">
        <f t="shared" si="24"/>
        <v/>
      </c>
      <c r="AZ53" s="138" t="str">
        <f t="shared" si="24"/>
        <v/>
      </c>
      <c r="BA53" s="138" t="str">
        <f t="shared" si="24"/>
        <v/>
      </c>
      <c r="BB53" s="138" t="str">
        <f t="shared" si="24"/>
        <v/>
      </c>
      <c r="BC53" s="138" t="str">
        <f t="shared" si="24"/>
        <v/>
      </c>
      <c r="BD53" s="138" t="str">
        <f t="shared" si="24"/>
        <v/>
      </c>
      <c r="BE53" s="138" t="str">
        <f t="shared" si="24"/>
        <v/>
      </c>
      <c r="BF53" s="138" t="str">
        <f t="shared" si="24"/>
        <v/>
      </c>
      <c r="BG53" s="138" t="str">
        <f t="shared" si="24"/>
        <v/>
      </c>
      <c r="BH53" s="138" t="str">
        <f t="shared" si="24"/>
        <v/>
      </c>
      <c r="BI53" s="138" t="str">
        <f t="shared" si="24"/>
        <v/>
      </c>
      <c r="BJ53" s="138" t="str">
        <f t="shared" si="24"/>
        <v/>
      </c>
      <c r="BK53" s="138" t="str">
        <f t="shared" si="24"/>
        <v/>
      </c>
      <c r="BL53" s="138" t="str">
        <f t="shared" si="24"/>
        <v/>
      </c>
      <c r="BM53" s="138" t="str">
        <f t="shared" si="24"/>
        <v/>
      </c>
      <c r="BN53" s="138" t="str">
        <f t="shared" si="24"/>
        <v/>
      </c>
      <c r="BO53" s="138" t="str">
        <f t="shared" si="24"/>
        <v/>
      </c>
      <c r="BP53" s="138" t="str">
        <f t="shared" si="24"/>
        <v/>
      </c>
      <c r="BQ53" s="138" t="str">
        <f t="shared" si="24"/>
        <v/>
      </c>
      <c r="BR53" s="138" t="str">
        <f t="shared" si="24"/>
        <v/>
      </c>
      <c r="BS53" s="138" t="str">
        <f t="shared" si="24"/>
        <v/>
      </c>
      <c r="BT53" s="138" t="str">
        <f t="shared" ref="BT53:CX53" si="25">IF(OR(BT39&gt;$D$17,BT39=""),"",BT52*BT50)</f>
        <v/>
      </c>
      <c r="BU53" s="138" t="str">
        <f t="shared" si="25"/>
        <v/>
      </c>
      <c r="BV53" s="138" t="str">
        <f t="shared" si="25"/>
        <v/>
      </c>
      <c r="BW53" s="138" t="str">
        <f t="shared" si="25"/>
        <v/>
      </c>
      <c r="BX53" s="138" t="str">
        <f t="shared" si="25"/>
        <v/>
      </c>
      <c r="BY53" s="138" t="str">
        <f t="shared" si="25"/>
        <v/>
      </c>
      <c r="BZ53" s="138" t="str">
        <f t="shared" si="25"/>
        <v/>
      </c>
      <c r="CA53" s="138" t="str">
        <f t="shared" si="25"/>
        <v/>
      </c>
      <c r="CB53" s="138" t="str">
        <f t="shared" si="25"/>
        <v/>
      </c>
      <c r="CC53" s="138" t="str">
        <f t="shared" si="25"/>
        <v/>
      </c>
      <c r="CD53" s="138" t="str">
        <f t="shared" si="25"/>
        <v/>
      </c>
      <c r="CE53" s="138" t="str">
        <f t="shared" si="25"/>
        <v/>
      </c>
      <c r="CF53" s="138" t="str">
        <f t="shared" si="25"/>
        <v/>
      </c>
      <c r="CG53" s="138" t="str">
        <f t="shared" si="25"/>
        <v/>
      </c>
      <c r="CH53" s="138" t="str">
        <f t="shared" si="25"/>
        <v/>
      </c>
      <c r="CI53" s="138" t="str">
        <f t="shared" si="25"/>
        <v/>
      </c>
      <c r="CJ53" s="138" t="str">
        <f t="shared" si="25"/>
        <v/>
      </c>
      <c r="CK53" s="138" t="str">
        <f t="shared" si="25"/>
        <v/>
      </c>
      <c r="CL53" s="138" t="str">
        <f t="shared" si="25"/>
        <v/>
      </c>
      <c r="CM53" s="138" t="str">
        <f t="shared" si="25"/>
        <v/>
      </c>
      <c r="CN53" s="138" t="str">
        <f t="shared" si="25"/>
        <v/>
      </c>
      <c r="CO53" s="138" t="str">
        <f t="shared" si="25"/>
        <v/>
      </c>
      <c r="CP53" s="138" t="str">
        <f t="shared" si="25"/>
        <v/>
      </c>
      <c r="CQ53" s="138" t="str">
        <f t="shared" si="25"/>
        <v/>
      </c>
      <c r="CR53" s="138" t="str">
        <f t="shared" si="25"/>
        <v/>
      </c>
      <c r="CS53" s="138" t="str">
        <f t="shared" si="25"/>
        <v/>
      </c>
      <c r="CT53" s="138" t="str">
        <f t="shared" si="25"/>
        <v/>
      </c>
      <c r="CU53" s="138" t="str">
        <f t="shared" si="25"/>
        <v/>
      </c>
      <c r="CV53" s="138" t="str">
        <f t="shared" si="25"/>
        <v/>
      </c>
      <c r="CW53" s="138" t="str">
        <f t="shared" si="25"/>
        <v/>
      </c>
      <c r="CX53" s="139" t="str">
        <f t="shared" si="25"/>
        <v/>
      </c>
    </row>
    <row r="54" spans="2:102">
      <c r="B54" s="93"/>
      <c r="C54" s="55" t="s">
        <v>69</v>
      </c>
      <c r="D54" s="55"/>
      <c r="E54" s="62">
        <f>NPV($D$34,G54:CX54)</f>
        <v>-63.027191211632136</v>
      </c>
      <c r="F54" s="137"/>
      <c r="G54" s="138">
        <f>IF(OR(G39&gt;$D$17,G39=""),"",-G50*G51*G52*G40)</f>
        <v>-3.2620153963256837</v>
      </c>
      <c r="H54" s="138">
        <f t="shared" ref="H54:BS54" si="26">IF(OR(H39&gt;$D$17,H39=""),"",-H50*H51*H52*H40)</f>
        <v>-3.443428683309306</v>
      </c>
      <c r="I54" s="138">
        <f t="shared" si="26"/>
        <v>-3.3710782239331012</v>
      </c>
      <c r="J54" s="138">
        <f t="shared" si="26"/>
        <v>-3.210644469951637</v>
      </c>
      <c r="K54" s="138">
        <f t="shared" si="26"/>
        <v>-3.0727267728109511</v>
      </c>
      <c r="L54" s="138">
        <f t="shared" si="26"/>
        <v>-3.0275815832914668</v>
      </c>
      <c r="M54" s="138">
        <f t="shared" si="26"/>
        <v>-2.9281925227170373</v>
      </c>
      <c r="N54" s="138">
        <f t="shared" si="26"/>
        <v>-2.8731585204926184</v>
      </c>
      <c r="O54" s="138">
        <f t="shared" si="26"/>
        <v>-2.8426271639288121</v>
      </c>
      <c r="P54" s="138">
        <f t="shared" si="26"/>
        <v>-2.7404911129636869</v>
      </c>
      <c r="Q54" s="138">
        <f t="shared" si="26"/>
        <v>-2.6418824213572281</v>
      </c>
      <c r="R54" s="138">
        <f t="shared" si="26"/>
        <v>-2.6027429180431398</v>
      </c>
      <c r="S54" s="138">
        <f t="shared" si="26"/>
        <v>-2.5062508637176446</v>
      </c>
      <c r="T54" s="138">
        <f t="shared" si="26"/>
        <v>-2.4030048909008701</v>
      </c>
      <c r="U54" s="138">
        <f t="shared" si="26"/>
        <v>-2.3109422085204985</v>
      </c>
      <c r="V54" s="138">
        <f t="shared" si="26"/>
        <v>-2.2581183884348954</v>
      </c>
      <c r="W54" s="138">
        <f t="shared" si="26"/>
        <v>-2.1930565507767934</v>
      </c>
      <c r="X54" s="138">
        <f t="shared" si="26"/>
        <v>-2.0990436319637045</v>
      </c>
      <c r="Y54" s="138">
        <f t="shared" si="26"/>
        <v>-1.9908198699043989</v>
      </c>
      <c r="Z54" s="138">
        <f t="shared" si="26"/>
        <v>-1.8913991064617484</v>
      </c>
      <c r="AA54" s="138">
        <f t="shared" si="26"/>
        <v>-1.8299064974797004</v>
      </c>
      <c r="AB54" s="138">
        <f t="shared" si="26"/>
        <v>-1.733361877489028</v>
      </c>
      <c r="AC54" s="138">
        <f t="shared" si="26"/>
        <v>-1.631435053621195</v>
      </c>
      <c r="AD54" s="138">
        <f t="shared" si="26"/>
        <v>-1.5327462056374019</v>
      </c>
      <c r="AE54" s="138">
        <f t="shared" si="26"/>
        <v>-1.4321045642146339</v>
      </c>
      <c r="AF54" s="138">
        <f t="shared" si="26"/>
        <v>-1.3648741273135181</v>
      </c>
      <c r="AG54" s="138">
        <f t="shared" si="26"/>
        <v>-1.2871563885049082</v>
      </c>
      <c r="AH54" s="138">
        <f t="shared" si="26"/>
        <v>-1.1890320827763188</v>
      </c>
      <c r="AI54" s="138">
        <f t="shared" si="26"/>
        <v>-1.0896674296183955</v>
      </c>
      <c r="AJ54" s="138">
        <f t="shared" si="26"/>
        <v>-0.99221137156138628</v>
      </c>
      <c r="AK54" s="138">
        <f t="shared" si="26"/>
        <v>-0.89537288036613638</v>
      </c>
      <c r="AL54" s="138">
        <f t="shared" si="26"/>
        <v>-0.80034784618202803</v>
      </c>
      <c r="AM54" s="138">
        <f t="shared" si="26"/>
        <v>-0.7060671337013702</v>
      </c>
      <c r="AN54" s="138">
        <f t="shared" si="26"/>
        <v>-0.62833498193162585</v>
      </c>
      <c r="AO54" s="138">
        <f t="shared" si="26"/>
        <v>-0.53540162767559873</v>
      </c>
      <c r="AP54" s="138">
        <f t="shared" si="26"/>
        <v>-0.44308866173752287</v>
      </c>
      <c r="AQ54" s="138">
        <f t="shared" si="26"/>
        <v>-0.35176798626935296</v>
      </c>
      <c r="AR54" s="138">
        <f t="shared" si="26"/>
        <v>-0.26744433659916028</v>
      </c>
      <c r="AS54" s="138">
        <f t="shared" si="26"/>
        <v>-0.17694073801445814</v>
      </c>
      <c r="AT54" s="138">
        <f t="shared" si="26"/>
        <v>-8.799079944659538E-2</v>
      </c>
      <c r="AU54" s="138" t="str">
        <f t="shared" si="26"/>
        <v/>
      </c>
      <c r="AV54" s="138" t="str">
        <f t="shared" si="26"/>
        <v/>
      </c>
      <c r="AW54" s="138" t="str">
        <f t="shared" si="26"/>
        <v/>
      </c>
      <c r="AX54" s="138" t="str">
        <f t="shared" si="26"/>
        <v/>
      </c>
      <c r="AY54" s="138" t="str">
        <f t="shared" si="26"/>
        <v/>
      </c>
      <c r="AZ54" s="138" t="str">
        <f t="shared" si="26"/>
        <v/>
      </c>
      <c r="BA54" s="138" t="str">
        <f t="shared" si="26"/>
        <v/>
      </c>
      <c r="BB54" s="138" t="str">
        <f t="shared" si="26"/>
        <v/>
      </c>
      <c r="BC54" s="138" t="str">
        <f t="shared" si="26"/>
        <v/>
      </c>
      <c r="BD54" s="138" t="str">
        <f t="shared" si="26"/>
        <v/>
      </c>
      <c r="BE54" s="138" t="str">
        <f t="shared" si="26"/>
        <v/>
      </c>
      <c r="BF54" s="138" t="str">
        <f t="shared" si="26"/>
        <v/>
      </c>
      <c r="BG54" s="138" t="str">
        <f t="shared" si="26"/>
        <v/>
      </c>
      <c r="BH54" s="138" t="str">
        <f t="shared" si="26"/>
        <v/>
      </c>
      <c r="BI54" s="138" t="str">
        <f t="shared" si="26"/>
        <v/>
      </c>
      <c r="BJ54" s="138" t="str">
        <f t="shared" si="26"/>
        <v/>
      </c>
      <c r="BK54" s="138" t="str">
        <f t="shared" si="26"/>
        <v/>
      </c>
      <c r="BL54" s="138" t="str">
        <f t="shared" si="26"/>
        <v/>
      </c>
      <c r="BM54" s="138" t="str">
        <f t="shared" si="26"/>
        <v/>
      </c>
      <c r="BN54" s="138" t="str">
        <f t="shared" si="26"/>
        <v/>
      </c>
      <c r="BO54" s="138" t="str">
        <f t="shared" si="26"/>
        <v/>
      </c>
      <c r="BP54" s="138" t="str">
        <f t="shared" si="26"/>
        <v/>
      </c>
      <c r="BQ54" s="138" t="str">
        <f t="shared" si="26"/>
        <v/>
      </c>
      <c r="BR54" s="138" t="str">
        <f t="shared" si="26"/>
        <v/>
      </c>
      <c r="BS54" s="138" t="str">
        <f t="shared" si="26"/>
        <v/>
      </c>
      <c r="BT54" s="138" t="str">
        <f t="shared" ref="BT54:CX54" si="27">IF(OR(BT39&gt;$D$17,BT39=""),"",-BT50*BT51*BT52*BT40)</f>
        <v/>
      </c>
      <c r="BU54" s="138" t="str">
        <f t="shared" si="27"/>
        <v/>
      </c>
      <c r="BV54" s="138" t="str">
        <f t="shared" si="27"/>
        <v/>
      </c>
      <c r="BW54" s="138" t="str">
        <f t="shared" si="27"/>
        <v/>
      </c>
      <c r="BX54" s="138" t="str">
        <f t="shared" si="27"/>
        <v/>
      </c>
      <c r="BY54" s="138" t="str">
        <f t="shared" si="27"/>
        <v/>
      </c>
      <c r="BZ54" s="138" t="str">
        <f t="shared" si="27"/>
        <v/>
      </c>
      <c r="CA54" s="138" t="str">
        <f t="shared" si="27"/>
        <v/>
      </c>
      <c r="CB54" s="138" t="str">
        <f t="shared" si="27"/>
        <v/>
      </c>
      <c r="CC54" s="138" t="str">
        <f t="shared" si="27"/>
        <v/>
      </c>
      <c r="CD54" s="138" t="str">
        <f t="shared" si="27"/>
        <v/>
      </c>
      <c r="CE54" s="138" t="str">
        <f t="shared" si="27"/>
        <v/>
      </c>
      <c r="CF54" s="138" t="str">
        <f t="shared" si="27"/>
        <v/>
      </c>
      <c r="CG54" s="138" t="str">
        <f t="shared" si="27"/>
        <v/>
      </c>
      <c r="CH54" s="138" t="str">
        <f t="shared" si="27"/>
        <v/>
      </c>
      <c r="CI54" s="138" t="str">
        <f t="shared" si="27"/>
        <v/>
      </c>
      <c r="CJ54" s="138" t="str">
        <f t="shared" si="27"/>
        <v/>
      </c>
      <c r="CK54" s="138" t="str">
        <f t="shared" si="27"/>
        <v/>
      </c>
      <c r="CL54" s="138" t="str">
        <f t="shared" si="27"/>
        <v/>
      </c>
      <c r="CM54" s="138" t="str">
        <f t="shared" si="27"/>
        <v/>
      </c>
      <c r="CN54" s="138" t="str">
        <f t="shared" si="27"/>
        <v/>
      </c>
      <c r="CO54" s="138" t="str">
        <f t="shared" si="27"/>
        <v/>
      </c>
      <c r="CP54" s="138" t="str">
        <f t="shared" si="27"/>
        <v/>
      </c>
      <c r="CQ54" s="138" t="str">
        <f t="shared" si="27"/>
        <v/>
      </c>
      <c r="CR54" s="138" t="str">
        <f t="shared" si="27"/>
        <v/>
      </c>
      <c r="CS54" s="138" t="str">
        <f t="shared" si="27"/>
        <v/>
      </c>
      <c r="CT54" s="138" t="str">
        <f t="shared" si="27"/>
        <v/>
      </c>
      <c r="CU54" s="138" t="str">
        <f t="shared" si="27"/>
        <v/>
      </c>
      <c r="CV54" s="138" t="str">
        <f t="shared" si="27"/>
        <v/>
      </c>
      <c r="CW54" s="138" t="str">
        <f t="shared" si="27"/>
        <v/>
      </c>
      <c r="CX54" s="139" t="str">
        <f t="shared" si="27"/>
        <v/>
      </c>
    </row>
    <row r="55" spans="2:102">
      <c r="B55" s="93"/>
      <c r="C55" s="55" t="s">
        <v>70</v>
      </c>
      <c r="D55" s="125">
        <f>D30</f>
        <v>0.01</v>
      </c>
      <c r="E55" s="62">
        <f>NPV($D$34,G55:CX55)</f>
        <v>-1.8668456043453261</v>
      </c>
      <c r="F55" s="137"/>
      <c r="G55" s="138">
        <f>IF(OR(G39&gt;$D$17,G39=""),"",-$D$55*(G44+G45+G48))</f>
        <v>-0.10241125000000002</v>
      </c>
      <c r="H55" s="138">
        <f t="shared" ref="H55:BS55" si="28">IF(OR(H39&gt;$D$17,H39=""),"",-$D$55*(H44+H45+H48))</f>
        <v>-0.10003774249657023</v>
      </c>
      <c r="I55" s="138">
        <f t="shared" si="28"/>
        <v>-9.7655116768481542E-2</v>
      </c>
      <c r="J55" s="138">
        <f t="shared" si="28"/>
        <v>-9.5263337786554048E-2</v>
      </c>
      <c r="K55" s="138">
        <f t="shared" si="28"/>
        <v>-9.2862370387037679E-2</v>
      </c>
      <c r="L55" s="138">
        <f t="shared" si="28"/>
        <v>-9.0452179271094821E-2</v>
      </c>
      <c r="M55" s="138">
        <f t="shared" si="28"/>
        <v>-8.803272900428151E-2</v>
      </c>
      <c r="N55" s="138">
        <f t="shared" si="28"/>
        <v>-8.5603984016026605E-2</v>
      </c>
      <c r="O55" s="138">
        <f t="shared" si="28"/>
        <v>-8.3165908599108426E-2</v>
      </c>
      <c r="P55" s="138">
        <f t="shared" si="28"/>
        <v>-8.071846690913026E-2</v>
      </c>
      <c r="Q55" s="138">
        <f t="shared" si="28"/>
        <v>-7.826162296399311E-2</v>
      </c>
      <c r="R55" s="138">
        <f t="shared" si="28"/>
        <v>-7.579534064336671E-2</v>
      </c>
      <c r="S55" s="138">
        <f t="shared" si="28"/>
        <v>-7.3319583688158593E-2</v>
      </c>
      <c r="T55" s="138">
        <f t="shared" si="28"/>
        <v>-7.0834315699980832E-2</v>
      </c>
      <c r="U55" s="138">
        <f t="shared" si="28"/>
        <v>-6.8339500140615211E-2</v>
      </c>
      <c r="V55" s="138">
        <f t="shared" si="28"/>
        <v>-6.5835100331475702E-2</v>
      </c>
      <c r="W55" s="138">
        <f t="shared" si="28"/>
        <v>-6.332107945306939E-2</v>
      </c>
      <c r="X55" s="138">
        <f t="shared" si="28"/>
        <v>-6.0797400544455184E-2</v>
      </c>
      <c r="Y55" s="138">
        <f t="shared" si="28"/>
        <v>-5.8264026502700399E-2</v>
      </c>
      <c r="Z55" s="138">
        <f t="shared" si="28"/>
        <v>-5.5720920082335222E-2</v>
      </c>
      <c r="AA55" s="138">
        <f t="shared" si="28"/>
        <v>-5.3168043894805117E-2</v>
      </c>
      <c r="AB55" s="138">
        <f t="shared" si="28"/>
        <v>-5.0605360407921268E-2</v>
      </c>
      <c r="AC55" s="138">
        <f t="shared" si="28"/>
        <v>-4.8032831945308628E-2</v>
      </c>
      <c r="AD55" s="138">
        <f t="shared" si="28"/>
        <v>-4.545042068585211E-2</v>
      </c>
      <c r="AE55" s="138">
        <f t="shared" si="28"/>
        <v>-4.2858088663140566E-2</v>
      </c>
      <c r="AF55" s="138">
        <f t="shared" si="28"/>
        <v>-4.0255797764908376E-2</v>
      </c>
      <c r="AG55" s="138">
        <f t="shared" si="28"/>
        <v>-3.7643509732475496E-2</v>
      </c>
      <c r="AH55" s="138">
        <f t="shared" si="28"/>
        <v>-3.5021186160184702E-2</v>
      </c>
      <c r="AI55" s="138">
        <f t="shared" si="28"/>
        <v>-3.2388788494836986E-2</v>
      </c>
      <c r="AJ55" s="138">
        <f t="shared" si="28"/>
        <v>-2.9746278035124928E-2</v>
      </c>
      <c r="AK55" s="138">
        <f t="shared" si="28"/>
        <v>-2.7093615931063467E-2</v>
      </c>
      <c r="AL55" s="138">
        <f t="shared" si="28"/>
        <v>-2.4430763183418913E-2</v>
      </c>
      <c r="AM55" s="138">
        <f t="shared" si="28"/>
        <v>-2.175768064313547E-2</v>
      </c>
      <c r="AN55" s="138">
        <f t="shared" si="28"/>
        <v>-1.9074329010759786E-2</v>
      </c>
      <c r="AO55" s="138">
        <f t="shared" si="28"/>
        <v>-1.638066883586306E-2</v>
      </c>
      <c r="AP55" s="138">
        <f t="shared" si="28"/>
        <v>-1.3676660516461102E-2</v>
      </c>
      <c r="AQ55" s="138">
        <f t="shared" si="28"/>
        <v>-1.0962264298432105E-2</v>
      </c>
      <c r="AR55" s="138">
        <f t="shared" si="28"/>
        <v>-8.2374402749321833E-3</v>
      </c>
      <c r="AS55" s="138">
        <f t="shared" si="28"/>
        <v>-5.5021483858086482E-3</v>
      </c>
      <c r="AT55" s="138">
        <f t="shared" si="28"/>
        <v>-2.7563484170110655E-3</v>
      </c>
      <c r="AU55" s="138" t="str">
        <f t="shared" si="28"/>
        <v/>
      </c>
      <c r="AV55" s="138" t="str">
        <f t="shared" si="28"/>
        <v/>
      </c>
      <c r="AW55" s="138" t="str">
        <f t="shared" si="28"/>
        <v/>
      </c>
      <c r="AX55" s="138" t="str">
        <f t="shared" si="28"/>
        <v/>
      </c>
      <c r="AY55" s="138" t="str">
        <f t="shared" si="28"/>
        <v/>
      </c>
      <c r="AZ55" s="138" t="str">
        <f t="shared" si="28"/>
        <v/>
      </c>
      <c r="BA55" s="138" t="str">
        <f t="shared" si="28"/>
        <v/>
      </c>
      <c r="BB55" s="138" t="str">
        <f t="shared" si="28"/>
        <v/>
      </c>
      <c r="BC55" s="138" t="str">
        <f t="shared" si="28"/>
        <v/>
      </c>
      <c r="BD55" s="138" t="str">
        <f t="shared" si="28"/>
        <v/>
      </c>
      <c r="BE55" s="138" t="str">
        <f t="shared" si="28"/>
        <v/>
      </c>
      <c r="BF55" s="138" t="str">
        <f t="shared" si="28"/>
        <v/>
      </c>
      <c r="BG55" s="138" t="str">
        <f t="shared" si="28"/>
        <v/>
      </c>
      <c r="BH55" s="138" t="str">
        <f t="shared" si="28"/>
        <v/>
      </c>
      <c r="BI55" s="138" t="str">
        <f t="shared" si="28"/>
        <v/>
      </c>
      <c r="BJ55" s="138" t="str">
        <f t="shared" si="28"/>
        <v/>
      </c>
      <c r="BK55" s="138" t="str">
        <f t="shared" si="28"/>
        <v/>
      </c>
      <c r="BL55" s="138" t="str">
        <f t="shared" si="28"/>
        <v/>
      </c>
      <c r="BM55" s="138" t="str">
        <f t="shared" si="28"/>
        <v/>
      </c>
      <c r="BN55" s="138" t="str">
        <f t="shared" si="28"/>
        <v/>
      </c>
      <c r="BO55" s="138" t="str">
        <f t="shared" si="28"/>
        <v/>
      </c>
      <c r="BP55" s="138" t="str">
        <f t="shared" si="28"/>
        <v/>
      </c>
      <c r="BQ55" s="138" t="str">
        <f t="shared" si="28"/>
        <v/>
      </c>
      <c r="BR55" s="138" t="str">
        <f t="shared" si="28"/>
        <v/>
      </c>
      <c r="BS55" s="138" t="str">
        <f t="shared" si="28"/>
        <v/>
      </c>
      <c r="BT55" s="138" t="str">
        <f t="shared" ref="BT55:CX55" si="29">IF(OR(BT39&gt;$D$17,BT39=""),"",-$D$55*(BT44+BT45+BT48))</f>
        <v/>
      </c>
      <c r="BU55" s="138" t="str">
        <f t="shared" si="29"/>
        <v/>
      </c>
      <c r="BV55" s="138" t="str">
        <f t="shared" si="29"/>
        <v/>
      </c>
      <c r="BW55" s="138" t="str">
        <f t="shared" si="29"/>
        <v/>
      </c>
      <c r="BX55" s="138" t="str">
        <f t="shared" si="29"/>
        <v/>
      </c>
      <c r="BY55" s="138" t="str">
        <f t="shared" si="29"/>
        <v/>
      </c>
      <c r="BZ55" s="138" t="str">
        <f t="shared" si="29"/>
        <v/>
      </c>
      <c r="CA55" s="138" t="str">
        <f t="shared" si="29"/>
        <v/>
      </c>
      <c r="CB55" s="138" t="str">
        <f t="shared" si="29"/>
        <v/>
      </c>
      <c r="CC55" s="138" t="str">
        <f t="shared" si="29"/>
        <v/>
      </c>
      <c r="CD55" s="138" t="str">
        <f t="shared" si="29"/>
        <v/>
      </c>
      <c r="CE55" s="138" t="str">
        <f t="shared" si="29"/>
        <v/>
      </c>
      <c r="CF55" s="138" t="str">
        <f t="shared" si="29"/>
        <v/>
      </c>
      <c r="CG55" s="138" t="str">
        <f t="shared" si="29"/>
        <v/>
      </c>
      <c r="CH55" s="138" t="str">
        <f t="shared" si="29"/>
        <v/>
      </c>
      <c r="CI55" s="138" t="str">
        <f t="shared" si="29"/>
        <v/>
      </c>
      <c r="CJ55" s="138" t="str">
        <f t="shared" si="29"/>
        <v/>
      </c>
      <c r="CK55" s="138" t="str">
        <f t="shared" si="29"/>
        <v/>
      </c>
      <c r="CL55" s="138" t="str">
        <f t="shared" si="29"/>
        <v/>
      </c>
      <c r="CM55" s="138" t="str">
        <f t="shared" si="29"/>
        <v/>
      </c>
      <c r="CN55" s="138" t="str">
        <f t="shared" si="29"/>
        <v/>
      </c>
      <c r="CO55" s="138" t="str">
        <f t="shared" si="29"/>
        <v/>
      </c>
      <c r="CP55" s="138" t="str">
        <f t="shared" si="29"/>
        <v/>
      </c>
      <c r="CQ55" s="138" t="str">
        <f t="shared" si="29"/>
        <v/>
      </c>
      <c r="CR55" s="138" t="str">
        <f t="shared" si="29"/>
        <v/>
      </c>
      <c r="CS55" s="138" t="str">
        <f t="shared" si="29"/>
        <v/>
      </c>
      <c r="CT55" s="138" t="str">
        <f t="shared" si="29"/>
        <v/>
      </c>
      <c r="CU55" s="138" t="str">
        <f t="shared" si="29"/>
        <v/>
      </c>
      <c r="CV55" s="138" t="str">
        <f t="shared" si="29"/>
        <v/>
      </c>
      <c r="CW55" s="138" t="str">
        <f t="shared" si="29"/>
        <v/>
      </c>
      <c r="CX55" s="139" t="str">
        <f t="shared" si="29"/>
        <v/>
      </c>
    </row>
    <row r="56" spans="2:102">
      <c r="B56" s="93"/>
      <c r="C56" s="55" t="s">
        <v>71</v>
      </c>
      <c r="D56" s="125">
        <f>D31</f>
        <v>8.3333333333333332E-3</v>
      </c>
      <c r="E56" s="62">
        <f>NPV($D$34,G56:CX56)</f>
        <v>-0.75953797570470627</v>
      </c>
      <c r="F56" s="138">
        <f>IF(OR(F39&gt;$D$17,F39=""),"",$D$56*(F46+F47))</f>
        <v>-0.29583333333333334</v>
      </c>
      <c r="G56" s="138">
        <f>IF(OR(G39&gt;$D$17,G39=""),"",$D$56*(G46+G47))</f>
        <v>-4.1666666666666664E-2</v>
      </c>
      <c r="H56" s="138">
        <f t="shared" ref="H56:BS56" si="30">IF(OR(H39&gt;$D$17,H39=""),"",$D$56*(H46+H47))</f>
        <v>-4.0700990083515513E-2</v>
      </c>
      <c r="I56" s="138">
        <f t="shared" si="30"/>
        <v>-3.973160369282408E-2</v>
      </c>
      <c r="J56" s="138">
        <f t="shared" si="30"/>
        <v>-3.8758493242748417E-2</v>
      </c>
      <c r="K56" s="138">
        <f t="shared" si="30"/>
        <v>-3.7781644426693704E-2</v>
      </c>
      <c r="L56" s="138">
        <f t="shared" si="30"/>
        <v>-3.6801042883103985E-2</v>
      </c>
      <c r="M56" s="138">
        <f t="shared" si="30"/>
        <v>-3.5816674195250968E-2</v>
      </c>
      <c r="N56" s="138">
        <f t="shared" si="30"/>
        <v>-3.4828523891022124E-2</v>
      </c>
      <c r="O56" s="138">
        <f t="shared" si="30"/>
        <v>-3.383657744270787E-2</v>
      </c>
      <c r="P56" s="138">
        <f t="shared" si="30"/>
        <v>-3.2840820266788008E-2</v>
      </c>
      <c r="Q56" s="138">
        <f t="shared" si="30"/>
        <v>-3.184123772371731E-2</v>
      </c>
      <c r="R56" s="138">
        <f t="shared" si="30"/>
        <v>-3.0837815117710325E-2</v>
      </c>
      <c r="S56" s="138">
        <f t="shared" si="30"/>
        <v>-2.9830537696525265E-2</v>
      </c>
      <c r="T56" s="138">
        <f t="shared" si="30"/>
        <v>-2.881939065124715E-2</v>
      </c>
      <c r="U56" s="138">
        <f t="shared" si="30"/>
        <v>-2.7804359116070088E-2</v>
      </c>
      <c r="V56" s="138">
        <f t="shared" si="30"/>
        <v>-2.6785428168078725E-2</v>
      </c>
      <c r="W56" s="138">
        <f t="shared" si="30"/>
        <v>-2.5762582827028827E-2</v>
      </c>
      <c r="X56" s="138">
        <f t="shared" si="30"/>
        <v>-2.4735808055127057E-2</v>
      </c>
      <c r="Y56" s="138">
        <f t="shared" si="30"/>
        <v>-2.3705088756809906E-2</v>
      </c>
      <c r="Z56" s="138">
        <f t="shared" si="30"/>
        <v>-2.2670409778521718E-2</v>
      </c>
      <c r="AA56" s="138">
        <f t="shared" si="30"/>
        <v>-2.163175590849194E-2</v>
      </c>
      <c r="AB56" s="138">
        <f t="shared" si="30"/>
        <v>-2.0589111876511464E-2</v>
      </c>
      <c r="AC56" s="138">
        <f t="shared" si="30"/>
        <v>-1.9542462353708125E-2</v>
      </c>
      <c r="AD56" s="138">
        <f t="shared" si="30"/>
        <v>-1.8491791952321354E-2</v>
      </c>
      <c r="AE56" s="138">
        <f t="shared" si="30"/>
        <v>-1.7437085225475921E-2</v>
      </c>
      <c r="AF56" s="138">
        <f t="shared" si="30"/>
        <v>-1.6378326666954855E-2</v>
      </c>
      <c r="AG56" s="138">
        <f t="shared" si="30"/>
        <v>-1.531550071097147E-2</v>
      </c>
      <c r="AH56" s="138">
        <f t="shared" si="30"/>
        <v>-1.4248591731940518E-2</v>
      </c>
      <c r="AI56" s="138">
        <f t="shared" si="30"/>
        <v>-1.3177584044248458E-2</v>
      </c>
      <c r="AJ56" s="138">
        <f t="shared" si="30"/>
        <v>-1.2102461902022845E-2</v>
      </c>
      <c r="AK56" s="138">
        <f t="shared" si="30"/>
        <v>-1.1023209498900849E-2</v>
      </c>
      <c r="AL56" s="138">
        <f t="shared" si="30"/>
        <v>-9.9398109677968603E-3</v>
      </c>
      <c r="AM56" s="138">
        <f t="shared" si="30"/>
        <v>-8.8522503806692104E-3</v>
      </c>
      <c r="AN56" s="138">
        <f t="shared" si="30"/>
        <v>-7.7605117482860159E-3</v>
      </c>
      <c r="AO56" s="138">
        <f t="shared" si="30"/>
        <v>-6.6645790199900811E-3</v>
      </c>
      <c r="AP56" s="138">
        <f t="shared" si="30"/>
        <v>-5.5644360834629421E-3</v>
      </c>
      <c r="AQ56" s="138">
        <f t="shared" si="30"/>
        <v>-4.4600667644879776E-3</v>
      </c>
      <c r="AR56" s="138">
        <f t="shared" si="30"/>
        <v>-3.3514548267126192E-3</v>
      </c>
      <c r="AS56" s="138">
        <f t="shared" si="30"/>
        <v>-2.2385839714096399E-3</v>
      </c>
      <c r="AT56" s="138">
        <f t="shared" si="30"/>
        <v>-1.1214378372375374E-3</v>
      </c>
      <c r="AU56" s="138" t="str">
        <f t="shared" si="30"/>
        <v/>
      </c>
      <c r="AV56" s="138" t="str">
        <f t="shared" si="30"/>
        <v/>
      </c>
      <c r="AW56" s="138" t="str">
        <f t="shared" si="30"/>
        <v/>
      </c>
      <c r="AX56" s="138" t="str">
        <f t="shared" si="30"/>
        <v/>
      </c>
      <c r="AY56" s="138" t="str">
        <f t="shared" si="30"/>
        <v/>
      </c>
      <c r="AZ56" s="138" t="str">
        <f t="shared" si="30"/>
        <v/>
      </c>
      <c r="BA56" s="138" t="str">
        <f t="shared" si="30"/>
        <v/>
      </c>
      <c r="BB56" s="138" t="str">
        <f t="shared" si="30"/>
        <v/>
      </c>
      <c r="BC56" s="138" t="str">
        <f t="shared" si="30"/>
        <v/>
      </c>
      <c r="BD56" s="138" t="str">
        <f t="shared" si="30"/>
        <v/>
      </c>
      <c r="BE56" s="138" t="str">
        <f t="shared" si="30"/>
        <v/>
      </c>
      <c r="BF56" s="138" t="str">
        <f t="shared" si="30"/>
        <v/>
      </c>
      <c r="BG56" s="138" t="str">
        <f t="shared" si="30"/>
        <v/>
      </c>
      <c r="BH56" s="138" t="str">
        <f t="shared" si="30"/>
        <v/>
      </c>
      <c r="BI56" s="138" t="str">
        <f t="shared" si="30"/>
        <v/>
      </c>
      <c r="BJ56" s="138" t="str">
        <f t="shared" si="30"/>
        <v/>
      </c>
      <c r="BK56" s="138" t="str">
        <f t="shared" si="30"/>
        <v/>
      </c>
      <c r="BL56" s="138" t="str">
        <f t="shared" si="30"/>
        <v/>
      </c>
      <c r="BM56" s="138" t="str">
        <f t="shared" si="30"/>
        <v/>
      </c>
      <c r="BN56" s="138" t="str">
        <f t="shared" si="30"/>
        <v/>
      </c>
      <c r="BO56" s="138" t="str">
        <f t="shared" si="30"/>
        <v/>
      </c>
      <c r="BP56" s="138" t="str">
        <f t="shared" si="30"/>
        <v/>
      </c>
      <c r="BQ56" s="138" t="str">
        <f t="shared" si="30"/>
        <v/>
      </c>
      <c r="BR56" s="138" t="str">
        <f t="shared" si="30"/>
        <v/>
      </c>
      <c r="BS56" s="138" t="str">
        <f t="shared" si="30"/>
        <v/>
      </c>
      <c r="BT56" s="138" t="str">
        <f t="shared" ref="BT56:CX56" si="31">IF(OR(BT39&gt;$D$17,BT39=""),"",$D$56*(BT46+BT47))</f>
        <v/>
      </c>
      <c r="BU56" s="138" t="str">
        <f t="shared" si="31"/>
        <v/>
      </c>
      <c r="BV56" s="138" t="str">
        <f t="shared" si="31"/>
        <v/>
      </c>
      <c r="BW56" s="138" t="str">
        <f t="shared" si="31"/>
        <v/>
      </c>
      <c r="BX56" s="138" t="str">
        <f t="shared" si="31"/>
        <v/>
      </c>
      <c r="BY56" s="138" t="str">
        <f t="shared" si="31"/>
        <v/>
      </c>
      <c r="BZ56" s="138" t="str">
        <f t="shared" si="31"/>
        <v/>
      </c>
      <c r="CA56" s="138" t="str">
        <f t="shared" si="31"/>
        <v/>
      </c>
      <c r="CB56" s="138" t="str">
        <f t="shared" si="31"/>
        <v/>
      </c>
      <c r="CC56" s="138" t="str">
        <f t="shared" si="31"/>
        <v/>
      </c>
      <c r="CD56" s="138" t="str">
        <f t="shared" si="31"/>
        <v/>
      </c>
      <c r="CE56" s="138" t="str">
        <f t="shared" si="31"/>
        <v/>
      </c>
      <c r="CF56" s="138" t="str">
        <f t="shared" si="31"/>
        <v/>
      </c>
      <c r="CG56" s="138" t="str">
        <f t="shared" si="31"/>
        <v/>
      </c>
      <c r="CH56" s="138" t="str">
        <f t="shared" si="31"/>
        <v/>
      </c>
      <c r="CI56" s="138" t="str">
        <f t="shared" si="31"/>
        <v/>
      </c>
      <c r="CJ56" s="138" t="str">
        <f t="shared" si="31"/>
        <v/>
      </c>
      <c r="CK56" s="138" t="str">
        <f t="shared" si="31"/>
        <v/>
      </c>
      <c r="CL56" s="138" t="str">
        <f t="shared" si="31"/>
        <v/>
      </c>
      <c r="CM56" s="138" t="str">
        <f t="shared" si="31"/>
        <v/>
      </c>
      <c r="CN56" s="138" t="str">
        <f t="shared" si="31"/>
        <v/>
      </c>
      <c r="CO56" s="138" t="str">
        <f t="shared" si="31"/>
        <v/>
      </c>
      <c r="CP56" s="138" t="str">
        <f t="shared" si="31"/>
        <v/>
      </c>
      <c r="CQ56" s="138" t="str">
        <f t="shared" si="31"/>
        <v/>
      </c>
      <c r="CR56" s="138" t="str">
        <f t="shared" si="31"/>
        <v/>
      </c>
      <c r="CS56" s="138" t="str">
        <f t="shared" si="31"/>
        <v/>
      </c>
      <c r="CT56" s="138" t="str">
        <f t="shared" si="31"/>
        <v/>
      </c>
      <c r="CU56" s="138" t="str">
        <f t="shared" si="31"/>
        <v/>
      </c>
      <c r="CV56" s="138" t="str">
        <f t="shared" si="31"/>
        <v/>
      </c>
      <c r="CW56" s="138" t="str">
        <f t="shared" si="31"/>
        <v/>
      </c>
      <c r="CX56" s="139" t="str">
        <f t="shared" si="31"/>
        <v/>
      </c>
    </row>
    <row r="57" spans="2:102">
      <c r="B57" s="95"/>
      <c r="C57" s="66" t="s">
        <v>72</v>
      </c>
      <c r="D57" s="66"/>
      <c r="E57" s="62">
        <f>NPV($D$34,G57:CX57)</f>
        <v>-65.653574791682146</v>
      </c>
      <c r="F57" s="143">
        <f>IF(OR(F39&gt;$D$17,F39=""),"",SUM(F54:F56))</f>
        <v>-0.29583333333333334</v>
      </c>
      <c r="G57" s="143">
        <f>IF(OR(G39&gt;$D$17,G39=""),"",SUM(G54:G56))</f>
        <v>-3.4060933129923501</v>
      </c>
      <c r="H57" s="143">
        <f t="shared" ref="H57:BS57" si="32">IF(OR(H39&gt;$D$17,H39=""),"",SUM(H54:H56))</f>
        <v>-3.5841674158893917</v>
      </c>
      <c r="I57" s="143">
        <f t="shared" si="32"/>
        <v>-3.5084649443944067</v>
      </c>
      <c r="J57" s="143">
        <f t="shared" si="32"/>
        <v>-3.3446663009809394</v>
      </c>
      <c r="K57" s="143">
        <f t="shared" si="32"/>
        <v>-3.2033707876246824</v>
      </c>
      <c r="L57" s="143">
        <f t="shared" si="32"/>
        <v>-3.1548348054456654</v>
      </c>
      <c r="M57" s="143">
        <f t="shared" si="32"/>
        <v>-3.0520419259165696</v>
      </c>
      <c r="N57" s="143">
        <f t="shared" si="32"/>
        <v>-2.9935910283996674</v>
      </c>
      <c r="O57" s="143">
        <f t="shared" si="32"/>
        <v>-2.9596296499706285</v>
      </c>
      <c r="P57" s="143">
        <f t="shared" si="32"/>
        <v>-2.854050400139605</v>
      </c>
      <c r="Q57" s="143">
        <f t="shared" si="32"/>
        <v>-2.7519852820449384</v>
      </c>
      <c r="R57" s="143">
        <f t="shared" si="32"/>
        <v>-2.7093760738042167</v>
      </c>
      <c r="S57" s="143">
        <f t="shared" si="32"/>
        <v>-2.6094009851023281</v>
      </c>
      <c r="T57" s="143">
        <f t="shared" si="32"/>
        <v>-2.5026585972520983</v>
      </c>
      <c r="U57" s="143">
        <f t="shared" si="32"/>
        <v>-2.4070860677771835</v>
      </c>
      <c r="V57" s="143">
        <f t="shared" si="32"/>
        <v>-2.3507389169344499</v>
      </c>
      <c r="W57" s="143">
        <f t="shared" si="32"/>
        <v>-2.2821402130568913</v>
      </c>
      <c r="X57" s="143">
        <f t="shared" si="32"/>
        <v>-2.1845768405632868</v>
      </c>
      <c r="Y57" s="143">
        <f t="shared" si="32"/>
        <v>-2.0727889851639092</v>
      </c>
      <c r="Z57" s="143">
        <f t="shared" si="32"/>
        <v>-1.9697904363226053</v>
      </c>
      <c r="AA57" s="143">
        <f t="shared" si="32"/>
        <v>-1.9047062972829973</v>
      </c>
      <c r="AB57" s="143">
        <f t="shared" si="32"/>
        <v>-1.8045563497734607</v>
      </c>
      <c r="AC57" s="143">
        <f t="shared" si="32"/>
        <v>-1.6990103479202119</v>
      </c>
      <c r="AD57" s="143">
        <f t="shared" si="32"/>
        <v>-1.5966884182755754</v>
      </c>
      <c r="AE57" s="143">
        <f t="shared" si="32"/>
        <v>-1.4923997381032506</v>
      </c>
      <c r="AF57" s="143">
        <f t="shared" si="32"/>
        <v>-1.4215082517453812</v>
      </c>
      <c r="AG57" s="143">
        <f t="shared" si="32"/>
        <v>-1.3401153989483552</v>
      </c>
      <c r="AH57" s="143">
        <f t="shared" si="32"/>
        <v>-1.2383018606684442</v>
      </c>
      <c r="AI57" s="143">
        <f t="shared" si="32"/>
        <v>-1.135233802157481</v>
      </c>
      <c r="AJ57" s="143">
        <f t="shared" si="32"/>
        <v>-1.0340601114985342</v>
      </c>
      <c r="AK57" s="143">
        <f t="shared" si="32"/>
        <v>-0.9334897057961008</v>
      </c>
      <c r="AL57" s="143">
        <f t="shared" si="32"/>
        <v>-0.83471842033324384</v>
      </c>
      <c r="AM57" s="143">
        <f t="shared" si="32"/>
        <v>-0.7366770647251748</v>
      </c>
      <c r="AN57" s="143">
        <f t="shared" si="32"/>
        <v>-0.6551698226906717</v>
      </c>
      <c r="AO57" s="143">
        <f t="shared" si="32"/>
        <v>-0.55844687553145189</v>
      </c>
      <c r="AP57" s="143">
        <f t="shared" si="32"/>
        <v>-0.46232975833744694</v>
      </c>
      <c r="AQ57" s="143">
        <f t="shared" si="32"/>
        <v>-0.36719031733227303</v>
      </c>
      <c r="AR57" s="143">
        <f t="shared" si="32"/>
        <v>-0.27903323170080507</v>
      </c>
      <c r="AS57" s="143">
        <f t="shared" si="32"/>
        <v>-0.18468147037167643</v>
      </c>
      <c r="AT57" s="143">
        <f t="shared" si="32"/>
        <v>-9.1868585700843983E-2</v>
      </c>
      <c r="AU57" s="143" t="str">
        <f t="shared" si="32"/>
        <v/>
      </c>
      <c r="AV57" s="143" t="str">
        <f t="shared" si="32"/>
        <v/>
      </c>
      <c r="AW57" s="143" t="str">
        <f t="shared" si="32"/>
        <v/>
      </c>
      <c r="AX57" s="143" t="str">
        <f t="shared" si="32"/>
        <v/>
      </c>
      <c r="AY57" s="143" t="str">
        <f t="shared" si="32"/>
        <v/>
      </c>
      <c r="AZ57" s="143" t="str">
        <f t="shared" si="32"/>
        <v/>
      </c>
      <c r="BA57" s="143" t="str">
        <f t="shared" si="32"/>
        <v/>
      </c>
      <c r="BB57" s="143" t="str">
        <f t="shared" si="32"/>
        <v/>
      </c>
      <c r="BC57" s="143" t="str">
        <f t="shared" si="32"/>
        <v/>
      </c>
      <c r="BD57" s="143" t="str">
        <f t="shared" si="32"/>
        <v/>
      </c>
      <c r="BE57" s="143" t="str">
        <f t="shared" si="32"/>
        <v/>
      </c>
      <c r="BF57" s="143" t="str">
        <f t="shared" si="32"/>
        <v/>
      </c>
      <c r="BG57" s="143" t="str">
        <f t="shared" si="32"/>
        <v/>
      </c>
      <c r="BH57" s="143" t="str">
        <f t="shared" si="32"/>
        <v/>
      </c>
      <c r="BI57" s="143" t="str">
        <f t="shared" si="32"/>
        <v/>
      </c>
      <c r="BJ57" s="143" t="str">
        <f t="shared" si="32"/>
        <v/>
      </c>
      <c r="BK57" s="143" t="str">
        <f t="shared" si="32"/>
        <v/>
      </c>
      <c r="BL57" s="143" t="str">
        <f t="shared" si="32"/>
        <v/>
      </c>
      <c r="BM57" s="143" t="str">
        <f t="shared" si="32"/>
        <v/>
      </c>
      <c r="BN57" s="143" t="str">
        <f t="shared" si="32"/>
        <v/>
      </c>
      <c r="BO57" s="143" t="str">
        <f t="shared" si="32"/>
        <v/>
      </c>
      <c r="BP57" s="143" t="str">
        <f t="shared" si="32"/>
        <v/>
      </c>
      <c r="BQ57" s="143" t="str">
        <f t="shared" si="32"/>
        <v/>
      </c>
      <c r="BR57" s="143" t="str">
        <f t="shared" si="32"/>
        <v/>
      </c>
      <c r="BS57" s="143" t="str">
        <f t="shared" si="32"/>
        <v/>
      </c>
      <c r="BT57" s="143" t="str">
        <f t="shared" ref="BT57:CX57" si="33">IF(OR(BT39&gt;$D$17,BT39=""),"",SUM(BT54:BT56))</f>
        <v/>
      </c>
      <c r="BU57" s="143" t="str">
        <f t="shared" si="33"/>
        <v/>
      </c>
      <c r="BV57" s="143" t="str">
        <f t="shared" si="33"/>
        <v/>
      </c>
      <c r="BW57" s="143" t="str">
        <f t="shared" si="33"/>
        <v/>
      </c>
      <c r="BX57" s="143" t="str">
        <f t="shared" si="33"/>
        <v/>
      </c>
      <c r="BY57" s="143" t="str">
        <f t="shared" si="33"/>
        <v/>
      </c>
      <c r="BZ57" s="143" t="str">
        <f t="shared" si="33"/>
        <v/>
      </c>
      <c r="CA57" s="143" t="str">
        <f t="shared" si="33"/>
        <v/>
      </c>
      <c r="CB57" s="143" t="str">
        <f t="shared" si="33"/>
        <v/>
      </c>
      <c r="CC57" s="143" t="str">
        <f t="shared" si="33"/>
        <v/>
      </c>
      <c r="CD57" s="143" t="str">
        <f t="shared" si="33"/>
        <v/>
      </c>
      <c r="CE57" s="143" t="str">
        <f t="shared" si="33"/>
        <v/>
      </c>
      <c r="CF57" s="143" t="str">
        <f t="shared" si="33"/>
        <v/>
      </c>
      <c r="CG57" s="143" t="str">
        <f t="shared" si="33"/>
        <v/>
      </c>
      <c r="CH57" s="143" t="str">
        <f t="shared" si="33"/>
        <v/>
      </c>
      <c r="CI57" s="143" t="str">
        <f t="shared" si="33"/>
        <v/>
      </c>
      <c r="CJ57" s="143" t="str">
        <f t="shared" si="33"/>
        <v/>
      </c>
      <c r="CK57" s="143" t="str">
        <f t="shared" si="33"/>
        <v/>
      </c>
      <c r="CL57" s="143" t="str">
        <f t="shared" si="33"/>
        <v/>
      </c>
      <c r="CM57" s="143" t="str">
        <f t="shared" si="33"/>
        <v/>
      </c>
      <c r="CN57" s="143" t="str">
        <f t="shared" si="33"/>
        <v/>
      </c>
      <c r="CO57" s="143" t="str">
        <f t="shared" si="33"/>
        <v/>
      </c>
      <c r="CP57" s="143" t="str">
        <f t="shared" si="33"/>
        <v/>
      </c>
      <c r="CQ57" s="143" t="str">
        <f t="shared" si="33"/>
        <v/>
      </c>
      <c r="CR57" s="143" t="str">
        <f t="shared" si="33"/>
        <v/>
      </c>
      <c r="CS57" s="143" t="str">
        <f t="shared" si="33"/>
        <v/>
      </c>
      <c r="CT57" s="143" t="str">
        <f t="shared" si="33"/>
        <v/>
      </c>
      <c r="CU57" s="143" t="str">
        <f t="shared" si="33"/>
        <v/>
      </c>
      <c r="CV57" s="143" t="str">
        <f t="shared" si="33"/>
        <v/>
      </c>
      <c r="CW57" s="143" t="str">
        <f t="shared" si="33"/>
        <v/>
      </c>
      <c r="CX57" s="144" t="str">
        <f t="shared" si="33"/>
        <v/>
      </c>
    </row>
    <row r="58" spans="2:102">
      <c r="B58" s="150" t="s">
        <v>73</v>
      </c>
      <c r="C58" s="123" t="s">
        <v>74</v>
      </c>
      <c r="D58" s="123"/>
      <c r="E58" s="115">
        <f>NPV($D$34,G58:CX58)+F58</f>
        <v>-5.9094047750475518</v>
      </c>
      <c r="F58" s="151">
        <f>F49+F57</f>
        <v>-35.795833333333334</v>
      </c>
      <c r="G58" s="152">
        <f>IF(OR(G39&gt;$D$17,G39=""),"",G44+G45+G49+G57)</f>
        <v>1.835031687007652</v>
      </c>
      <c r="H58" s="152">
        <f t="shared" ref="H58:BS58" si="34">IF(OR(H39&gt;$D$17,H39=""),"",H44+H45+H49+H57)</f>
        <v>1.5354880237457693</v>
      </c>
      <c r="I58" s="152">
        <f t="shared" si="34"/>
        <v>1.4892542893148577</v>
      </c>
      <c r="J58" s="152">
        <f t="shared" si="34"/>
        <v>1.5306482885446546</v>
      </c>
      <c r="K58" s="152">
        <f t="shared" si="34"/>
        <v>1.5490689198758405</v>
      </c>
      <c r="L58" s="152">
        <f t="shared" si="34"/>
        <v>1.4742579756913377</v>
      </c>
      <c r="M58" s="152">
        <f t="shared" si="34"/>
        <v>1.4532300710814652</v>
      </c>
      <c r="N58" s="152">
        <f t="shared" si="34"/>
        <v>1.387384506280338</v>
      </c>
      <c r="O58" s="152">
        <f t="shared" si="34"/>
        <v>1.2965719168152696</v>
      </c>
      <c r="P58" s="152">
        <f t="shared" si="34"/>
        <v>1.2768978587588604</v>
      </c>
      <c r="Q58" s="152">
        <f t="shared" si="34"/>
        <v>1.2532284875082955</v>
      </c>
      <c r="R58" s="152">
        <f t="shared" si="34"/>
        <v>1.1696201764072152</v>
      </c>
      <c r="S58" s="152">
        <f t="shared" si="34"/>
        <v>1.1428928601304986</v>
      </c>
      <c r="T58" s="152">
        <f t="shared" si="34"/>
        <v>1.1224460945963273</v>
      </c>
      <c r="U58" s="152">
        <f t="shared" si="34"/>
        <v>1.0903408523559266</v>
      </c>
      <c r="V58" s="152">
        <f t="shared" si="34"/>
        <v>1.0185197360436726</v>
      </c>
      <c r="W58" s="152">
        <f t="shared" si="34"/>
        <v>0.95845779300658718</v>
      </c>
      <c r="X58" s="152">
        <f t="shared" si="34"/>
        <v>0.92686624726698463</v>
      </c>
      <c r="Y58" s="152">
        <f t="shared" si="34"/>
        <v>0.90900301428894137</v>
      </c>
      <c r="Z58" s="152">
        <f t="shared" si="34"/>
        <v>0.88185239848831065</v>
      </c>
      <c r="AA58" s="152">
        <f t="shared" si="34"/>
        <v>0.81628738317848137</v>
      </c>
      <c r="AB58" s="152">
        <f t="shared" si="34"/>
        <v>0.78528626583729011</v>
      </c>
      <c r="AC58" s="152">
        <f t="shared" si="34"/>
        <v>0.75917736416567583</v>
      </c>
      <c r="AD58" s="152">
        <f t="shared" si="34"/>
        <v>0.72933861603107353</v>
      </c>
      <c r="AE58" s="152">
        <f t="shared" si="34"/>
        <v>0.70095890115369497</v>
      </c>
      <c r="AF58" s="152">
        <f t="shared" si="34"/>
        <v>0.63867232471087343</v>
      </c>
      <c r="AG58" s="152">
        <f t="shared" si="34"/>
        <v>0.58637548898261782</v>
      </c>
      <c r="AH58" s="152">
        <f t="shared" si="34"/>
        <v>0.55398574751716323</v>
      </c>
      <c r="AI58" s="152">
        <f t="shared" si="34"/>
        <v>0.52233496201640284</v>
      </c>
      <c r="AJ58" s="152">
        <f t="shared" si="34"/>
        <v>0.48827226377121735</v>
      </c>
      <c r="AK58" s="152">
        <f t="shared" si="34"/>
        <v>0.45308674744214417</v>
      </c>
      <c r="AL58" s="152">
        <f t="shared" si="34"/>
        <v>0.41558058187302427</v>
      </c>
      <c r="AM58" s="152">
        <f t="shared" si="34"/>
        <v>0.37682095390806714</v>
      </c>
      <c r="AN58" s="152">
        <f t="shared" si="34"/>
        <v>0.32100166859098511</v>
      </c>
      <c r="AO58" s="152">
        <f t="shared" si="34"/>
        <v>0.27987052565604442</v>
      </c>
      <c r="AP58" s="152">
        <f t="shared" si="34"/>
        <v>0.23760396329311018</v>
      </c>
      <c r="AQ58" s="152">
        <f t="shared" si="34"/>
        <v>0.19382810077238</v>
      </c>
      <c r="AR58" s="152">
        <f t="shared" si="34"/>
        <v>0.14253621658689902</v>
      </c>
      <c r="AS58" s="152">
        <f t="shared" si="34"/>
        <v>9.6903291640031586E-2</v>
      </c>
      <c r="AT58" s="152">
        <f t="shared" si="34"/>
        <v>4.9193715531758039E-2</v>
      </c>
      <c r="AU58" s="152" t="str">
        <f t="shared" si="34"/>
        <v/>
      </c>
      <c r="AV58" s="152" t="str">
        <f t="shared" si="34"/>
        <v/>
      </c>
      <c r="AW58" s="152" t="str">
        <f t="shared" si="34"/>
        <v/>
      </c>
      <c r="AX58" s="152" t="str">
        <f t="shared" si="34"/>
        <v/>
      </c>
      <c r="AY58" s="152" t="str">
        <f t="shared" si="34"/>
        <v/>
      </c>
      <c r="AZ58" s="152" t="str">
        <f t="shared" si="34"/>
        <v/>
      </c>
      <c r="BA58" s="152" t="str">
        <f t="shared" si="34"/>
        <v/>
      </c>
      <c r="BB58" s="152" t="str">
        <f t="shared" si="34"/>
        <v/>
      </c>
      <c r="BC58" s="152" t="str">
        <f t="shared" si="34"/>
        <v/>
      </c>
      <c r="BD58" s="152" t="str">
        <f t="shared" si="34"/>
        <v/>
      </c>
      <c r="BE58" s="152" t="str">
        <f t="shared" si="34"/>
        <v/>
      </c>
      <c r="BF58" s="152" t="str">
        <f t="shared" si="34"/>
        <v/>
      </c>
      <c r="BG58" s="152" t="str">
        <f t="shared" si="34"/>
        <v/>
      </c>
      <c r="BH58" s="152" t="str">
        <f t="shared" si="34"/>
        <v/>
      </c>
      <c r="BI58" s="152" t="str">
        <f t="shared" si="34"/>
        <v/>
      </c>
      <c r="BJ58" s="152" t="str">
        <f t="shared" si="34"/>
        <v/>
      </c>
      <c r="BK58" s="152" t="str">
        <f t="shared" si="34"/>
        <v/>
      </c>
      <c r="BL58" s="152" t="str">
        <f t="shared" si="34"/>
        <v/>
      </c>
      <c r="BM58" s="152" t="str">
        <f t="shared" si="34"/>
        <v/>
      </c>
      <c r="BN58" s="152" t="str">
        <f t="shared" si="34"/>
        <v/>
      </c>
      <c r="BO58" s="152" t="str">
        <f t="shared" si="34"/>
        <v/>
      </c>
      <c r="BP58" s="152" t="str">
        <f t="shared" si="34"/>
        <v/>
      </c>
      <c r="BQ58" s="152" t="str">
        <f t="shared" si="34"/>
        <v/>
      </c>
      <c r="BR58" s="152" t="str">
        <f t="shared" si="34"/>
        <v/>
      </c>
      <c r="BS58" s="152" t="str">
        <f t="shared" si="34"/>
        <v/>
      </c>
      <c r="BT58" s="152" t="str">
        <f t="shared" ref="BT58:CX58" si="35">IF(OR(BT39&gt;$D$17,BT39=""),"",BT44+BT45+BT49+BT57)</f>
        <v/>
      </c>
      <c r="BU58" s="152" t="str">
        <f t="shared" si="35"/>
        <v/>
      </c>
      <c r="BV58" s="152" t="str">
        <f t="shared" si="35"/>
        <v/>
      </c>
      <c r="BW58" s="152" t="str">
        <f t="shared" si="35"/>
        <v/>
      </c>
      <c r="BX58" s="152" t="str">
        <f t="shared" si="35"/>
        <v/>
      </c>
      <c r="BY58" s="152" t="str">
        <f t="shared" si="35"/>
        <v/>
      </c>
      <c r="BZ58" s="152" t="str">
        <f t="shared" si="35"/>
        <v/>
      </c>
      <c r="CA58" s="152" t="str">
        <f t="shared" si="35"/>
        <v/>
      </c>
      <c r="CB58" s="152" t="str">
        <f t="shared" si="35"/>
        <v/>
      </c>
      <c r="CC58" s="152" t="str">
        <f t="shared" si="35"/>
        <v/>
      </c>
      <c r="CD58" s="152" t="str">
        <f t="shared" si="35"/>
        <v/>
      </c>
      <c r="CE58" s="152" t="str">
        <f t="shared" si="35"/>
        <v/>
      </c>
      <c r="CF58" s="152" t="str">
        <f t="shared" si="35"/>
        <v/>
      </c>
      <c r="CG58" s="152" t="str">
        <f t="shared" si="35"/>
        <v/>
      </c>
      <c r="CH58" s="152" t="str">
        <f t="shared" si="35"/>
        <v/>
      </c>
      <c r="CI58" s="152" t="str">
        <f t="shared" si="35"/>
        <v/>
      </c>
      <c r="CJ58" s="152" t="str">
        <f t="shared" si="35"/>
        <v/>
      </c>
      <c r="CK58" s="152" t="str">
        <f t="shared" si="35"/>
        <v/>
      </c>
      <c r="CL58" s="152" t="str">
        <f t="shared" si="35"/>
        <v/>
      </c>
      <c r="CM58" s="152" t="str">
        <f t="shared" si="35"/>
        <v/>
      </c>
      <c r="CN58" s="152" t="str">
        <f t="shared" si="35"/>
        <v/>
      </c>
      <c r="CO58" s="152" t="str">
        <f t="shared" si="35"/>
        <v/>
      </c>
      <c r="CP58" s="152" t="str">
        <f t="shared" si="35"/>
        <v/>
      </c>
      <c r="CQ58" s="152" t="str">
        <f t="shared" si="35"/>
        <v/>
      </c>
      <c r="CR58" s="152" t="str">
        <f t="shared" si="35"/>
        <v/>
      </c>
      <c r="CS58" s="152" t="str">
        <f t="shared" si="35"/>
        <v/>
      </c>
      <c r="CT58" s="152" t="str">
        <f t="shared" si="35"/>
        <v/>
      </c>
      <c r="CU58" s="152" t="str">
        <f t="shared" si="35"/>
        <v/>
      </c>
      <c r="CV58" s="152" t="str">
        <f t="shared" si="35"/>
        <v/>
      </c>
      <c r="CW58" s="152" t="str">
        <f t="shared" si="35"/>
        <v/>
      </c>
      <c r="CX58" s="153" t="str">
        <f t="shared" si="35"/>
        <v/>
      </c>
    </row>
    <row r="59" spans="2:102" ht="15">
      <c r="B59" s="154"/>
      <c r="C59" s="66" t="s">
        <v>75</v>
      </c>
      <c r="D59" s="155"/>
      <c r="E59" s="65">
        <f>NPV($D$34,G59:CX59)+F59</f>
        <v>-11.886690486704698</v>
      </c>
      <c r="F59" s="142">
        <f>F58</f>
        <v>-35.795833333333334</v>
      </c>
      <c r="G59" s="143">
        <f>IF(OR(G39&gt;$D$17,G39=""),"",IF(G58&lt;0,G58,G58*(1-$D$32)))</f>
        <v>1.4680253496061217</v>
      </c>
      <c r="H59" s="143">
        <f t="shared" ref="H59:BS59" si="36">IF(OR(H39&gt;$D$17,H39=""),"",IF(H58&lt;0,H58,H58*(1-$D$32)))</f>
        <v>1.2283904189966155</v>
      </c>
      <c r="I59" s="143">
        <f t="shared" si="36"/>
        <v>1.1914034314518862</v>
      </c>
      <c r="J59" s="143">
        <f t="shared" si="36"/>
        <v>1.2245186308357239</v>
      </c>
      <c r="K59" s="143">
        <f t="shared" si="36"/>
        <v>1.2392551359006725</v>
      </c>
      <c r="L59" s="143">
        <f t="shared" si="36"/>
        <v>1.1794063805530701</v>
      </c>
      <c r="M59" s="143">
        <f t="shared" si="36"/>
        <v>1.1625840568651722</v>
      </c>
      <c r="N59" s="143">
        <f t="shared" si="36"/>
        <v>1.1099076050242704</v>
      </c>
      <c r="O59" s="143">
        <f t="shared" si="36"/>
        <v>1.0372575334522158</v>
      </c>
      <c r="P59" s="143">
        <f t="shared" si="36"/>
        <v>1.0215182870070885</v>
      </c>
      <c r="Q59" s="143">
        <f t="shared" si="36"/>
        <v>1.0025827900066364</v>
      </c>
      <c r="R59" s="143">
        <f t="shared" si="36"/>
        <v>0.93569614112577215</v>
      </c>
      <c r="S59" s="143">
        <f t="shared" si="36"/>
        <v>0.91431428810439896</v>
      </c>
      <c r="T59" s="143">
        <f t="shared" si="36"/>
        <v>0.89795687567706184</v>
      </c>
      <c r="U59" s="143">
        <f t="shared" si="36"/>
        <v>0.87227268188474127</v>
      </c>
      <c r="V59" s="143">
        <f t="shared" si="36"/>
        <v>0.8148157888349381</v>
      </c>
      <c r="W59" s="143">
        <f t="shared" si="36"/>
        <v>0.76676623440526981</v>
      </c>
      <c r="X59" s="143">
        <f t="shared" si="36"/>
        <v>0.7414929978135878</v>
      </c>
      <c r="Y59" s="143">
        <f t="shared" si="36"/>
        <v>0.72720241143115316</v>
      </c>
      <c r="Z59" s="143">
        <f t="shared" si="36"/>
        <v>0.70548191879064859</v>
      </c>
      <c r="AA59" s="143">
        <f t="shared" si="36"/>
        <v>0.65302990654278514</v>
      </c>
      <c r="AB59" s="143">
        <f t="shared" si="36"/>
        <v>0.62822901266983211</v>
      </c>
      <c r="AC59" s="143">
        <f t="shared" si="36"/>
        <v>0.60734189133254068</v>
      </c>
      <c r="AD59" s="143">
        <f t="shared" si="36"/>
        <v>0.58347089282485887</v>
      </c>
      <c r="AE59" s="143">
        <f t="shared" si="36"/>
        <v>0.560767120922956</v>
      </c>
      <c r="AF59" s="143">
        <f t="shared" si="36"/>
        <v>0.51093785976869877</v>
      </c>
      <c r="AG59" s="143">
        <f t="shared" si="36"/>
        <v>0.46910039118609426</v>
      </c>
      <c r="AH59" s="143">
        <f t="shared" si="36"/>
        <v>0.44318859801373062</v>
      </c>
      <c r="AI59" s="143">
        <f t="shared" si="36"/>
        <v>0.41786796961312228</v>
      </c>
      <c r="AJ59" s="143">
        <f t="shared" si="36"/>
        <v>0.3906178110169739</v>
      </c>
      <c r="AK59" s="143">
        <f t="shared" si="36"/>
        <v>0.36246939795371536</v>
      </c>
      <c r="AL59" s="143">
        <f t="shared" si="36"/>
        <v>0.33246446549841946</v>
      </c>
      <c r="AM59" s="143">
        <f t="shared" si="36"/>
        <v>0.30145676312645375</v>
      </c>
      <c r="AN59" s="143">
        <f t="shared" si="36"/>
        <v>0.25680133487278811</v>
      </c>
      <c r="AO59" s="143">
        <f t="shared" si="36"/>
        <v>0.22389642052483555</v>
      </c>
      <c r="AP59" s="143">
        <f t="shared" si="36"/>
        <v>0.19008317063448815</v>
      </c>
      <c r="AQ59" s="143">
        <f t="shared" si="36"/>
        <v>0.15506248061790401</v>
      </c>
      <c r="AR59" s="143">
        <f t="shared" si="36"/>
        <v>0.11402897326951922</v>
      </c>
      <c r="AS59" s="143">
        <f t="shared" si="36"/>
        <v>7.7522633312025274E-2</v>
      </c>
      <c r="AT59" s="143">
        <f t="shared" si="36"/>
        <v>3.9354972425406434E-2</v>
      </c>
      <c r="AU59" s="143" t="str">
        <f t="shared" si="36"/>
        <v/>
      </c>
      <c r="AV59" s="143" t="str">
        <f t="shared" si="36"/>
        <v/>
      </c>
      <c r="AW59" s="143" t="str">
        <f t="shared" si="36"/>
        <v/>
      </c>
      <c r="AX59" s="143" t="str">
        <f t="shared" si="36"/>
        <v/>
      </c>
      <c r="AY59" s="143" t="str">
        <f t="shared" si="36"/>
        <v/>
      </c>
      <c r="AZ59" s="143" t="str">
        <f t="shared" si="36"/>
        <v/>
      </c>
      <c r="BA59" s="143" t="str">
        <f t="shared" si="36"/>
        <v/>
      </c>
      <c r="BB59" s="143" t="str">
        <f t="shared" si="36"/>
        <v/>
      </c>
      <c r="BC59" s="143" t="str">
        <f t="shared" si="36"/>
        <v/>
      </c>
      <c r="BD59" s="143" t="str">
        <f t="shared" si="36"/>
        <v/>
      </c>
      <c r="BE59" s="143" t="str">
        <f t="shared" si="36"/>
        <v/>
      </c>
      <c r="BF59" s="143" t="str">
        <f t="shared" si="36"/>
        <v/>
      </c>
      <c r="BG59" s="143" t="str">
        <f t="shared" si="36"/>
        <v/>
      </c>
      <c r="BH59" s="143" t="str">
        <f t="shared" si="36"/>
        <v/>
      </c>
      <c r="BI59" s="143" t="str">
        <f t="shared" si="36"/>
        <v/>
      </c>
      <c r="BJ59" s="143" t="str">
        <f t="shared" si="36"/>
        <v/>
      </c>
      <c r="BK59" s="143" t="str">
        <f t="shared" si="36"/>
        <v/>
      </c>
      <c r="BL59" s="143" t="str">
        <f t="shared" si="36"/>
        <v/>
      </c>
      <c r="BM59" s="143" t="str">
        <f t="shared" si="36"/>
        <v/>
      </c>
      <c r="BN59" s="143" t="str">
        <f t="shared" si="36"/>
        <v/>
      </c>
      <c r="BO59" s="143" t="str">
        <f t="shared" si="36"/>
        <v/>
      </c>
      <c r="BP59" s="143" t="str">
        <f t="shared" si="36"/>
        <v/>
      </c>
      <c r="BQ59" s="143" t="str">
        <f t="shared" si="36"/>
        <v/>
      </c>
      <c r="BR59" s="143" t="str">
        <f t="shared" si="36"/>
        <v/>
      </c>
      <c r="BS59" s="143" t="str">
        <f t="shared" si="36"/>
        <v/>
      </c>
      <c r="BT59" s="143" t="str">
        <f t="shared" ref="BT59:CX59" si="37">IF(OR(BT39&gt;$D$17,BT39=""),"",IF(BT58&lt;0,BT58,BT58*(1-$D$32)))</f>
        <v/>
      </c>
      <c r="BU59" s="143" t="str">
        <f t="shared" si="37"/>
        <v/>
      </c>
      <c r="BV59" s="143" t="str">
        <f t="shared" si="37"/>
        <v/>
      </c>
      <c r="BW59" s="143" t="str">
        <f t="shared" si="37"/>
        <v/>
      </c>
      <c r="BX59" s="143" t="str">
        <f t="shared" si="37"/>
        <v/>
      </c>
      <c r="BY59" s="143" t="str">
        <f t="shared" si="37"/>
        <v/>
      </c>
      <c r="BZ59" s="143" t="str">
        <f t="shared" si="37"/>
        <v/>
      </c>
      <c r="CA59" s="143" t="str">
        <f t="shared" si="37"/>
        <v/>
      </c>
      <c r="CB59" s="143" t="str">
        <f t="shared" si="37"/>
        <v/>
      </c>
      <c r="CC59" s="143" t="str">
        <f t="shared" si="37"/>
        <v/>
      </c>
      <c r="CD59" s="143" t="str">
        <f t="shared" si="37"/>
        <v/>
      </c>
      <c r="CE59" s="143" t="str">
        <f t="shared" si="37"/>
        <v/>
      </c>
      <c r="CF59" s="143" t="str">
        <f t="shared" si="37"/>
        <v/>
      </c>
      <c r="CG59" s="143" t="str">
        <f t="shared" si="37"/>
        <v/>
      </c>
      <c r="CH59" s="143" t="str">
        <f t="shared" si="37"/>
        <v/>
      </c>
      <c r="CI59" s="143" t="str">
        <f t="shared" si="37"/>
        <v/>
      </c>
      <c r="CJ59" s="143" t="str">
        <f t="shared" si="37"/>
        <v/>
      </c>
      <c r="CK59" s="143" t="str">
        <f t="shared" si="37"/>
        <v/>
      </c>
      <c r="CL59" s="143" t="str">
        <f t="shared" si="37"/>
        <v/>
      </c>
      <c r="CM59" s="143" t="str">
        <f t="shared" si="37"/>
        <v/>
      </c>
      <c r="CN59" s="143" t="str">
        <f t="shared" si="37"/>
        <v/>
      </c>
      <c r="CO59" s="143" t="str">
        <f t="shared" si="37"/>
        <v/>
      </c>
      <c r="CP59" s="143" t="str">
        <f t="shared" si="37"/>
        <v/>
      </c>
      <c r="CQ59" s="143" t="str">
        <f t="shared" si="37"/>
        <v/>
      </c>
      <c r="CR59" s="143" t="str">
        <f t="shared" si="37"/>
        <v/>
      </c>
      <c r="CS59" s="143" t="str">
        <f t="shared" si="37"/>
        <v/>
      </c>
      <c r="CT59" s="143" t="str">
        <f t="shared" si="37"/>
        <v/>
      </c>
      <c r="CU59" s="143" t="str">
        <f t="shared" si="37"/>
        <v/>
      </c>
      <c r="CV59" s="143" t="str">
        <f t="shared" si="37"/>
        <v/>
      </c>
      <c r="CW59" s="143" t="str">
        <f t="shared" si="37"/>
        <v/>
      </c>
      <c r="CX59" s="144" t="str">
        <f t="shared" si="37"/>
        <v/>
      </c>
    </row>
    <row r="60" spans="2:102" ht="15">
      <c r="B60" s="82"/>
      <c r="C60" s="66" t="s">
        <v>76</v>
      </c>
      <c r="D60" s="66"/>
      <c r="E60" s="64">
        <f>NPV($D$34,G60:CX60)+F60</f>
        <v>4038.6908398824062</v>
      </c>
      <c r="F60" s="142">
        <f>F59</f>
        <v>-35.795833333333334</v>
      </c>
      <c r="G60" s="143">
        <f>IF(OR(G39&gt;$D$17,G39=""),"",G59+G41)</f>
        <v>117.34921532774486</v>
      </c>
      <c r="H60" s="143">
        <f t="shared" ref="H60:BS60" si="38">IF(OR(H39&gt;$D$17,H39=""),"",H59+H41)</f>
        <v>117.55475730196802</v>
      </c>
      <c r="I60" s="143">
        <f t="shared" si="38"/>
        <v>117.96465744053206</v>
      </c>
      <c r="J60" s="143">
        <f t="shared" si="38"/>
        <v>118.44637655740077</v>
      </c>
      <c r="K60" s="143">
        <f t="shared" si="38"/>
        <v>118.91144036666695</v>
      </c>
      <c r="L60" s="143">
        <f t="shared" si="38"/>
        <v>119.30364892291422</v>
      </c>
      <c r="M60" s="143">
        <f t="shared" si="38"/>
        <v>119.74062056432655</v>
      </c>
      <c r="N60" s="143">
        <f t="shared" si="38"/>
        <v>120.14348140273515</v>
      </c>
      <c r="O60" s="143">
        <f t="shared" si="38"/>
        <v>120.52811864383595</v>
      </c>
      <c r="P60" s="143">
        <f t="shared" si="38"/>
        <v>120.97142345548987</v>
      </c>
      <c r="Q60" s="143">
        <f t="shared" si="38"/>
        <v>121.41329551084502</v>
      </c>
      <c r="R60" s="143">
        <f t="shared" si="38"/>
        <v>121.80898668333339</v>
      </c>
      <c r="S60" s="143">
        <f t="shared" si="38"/>
        <v>122.25195972147833</v>
      </c>
      <c r="T60" s="143">
        <f t="shared" si="38"/>
        <v>122.70174109692421</v>
      </c>
      <c r="U60" s="143">
        <f t="shared" si="38"/>
        <v>123.14398644084849</v>
      </c>
      <c r="V60" s="143">
        <f t="shared" si="38"/>
        <v>123.55625671482271</v>
      </c>
      <c r="W60" s="143">
        <f t="shared" si="38"/>
        <v>123.97973886261705</v>
      </c>
      <c r="X60" s="143">
        <f t="shared" si="38"/>
        <v>124.4278087958721</v>
      </c>
      <c r="Y60" s="143">
        <f t="shared" si="38"/>
        <v>124.88867980601385</v>
      </c>
      <c r="Z60" s="143">
        <f t="shared" si="38"/>
        <v>125.34394632236422</v>
      </c>
      <c r="AA60" s="143">
        <f t="shared" si="38"/>
        <v>125.77031374420007</v>
      </c>
      <c r="AB60" s="143">
        <f t="shared" si="38"/>
        <v>126.22617174907012</v>
      </c>
      <c r="AC60" s="143">
        <f t="shared" si="38"/>
        <v>126.68779005774518</v>
      </c>
      <c r="AD60" s="143">
        <f t="shared" si="38"/>
        <v>127.14827811427679</v>
      </c>
      <c r="AE60" s="143">
        <f t="shared" si="38"/>
        <v>127.61179414345064</v>
      </c>
      <c r="AF60" s="143">
        <f t="shared" si="38"/>
        <v>128.05005257777458</v>
      </c>
      <c r="AG60" s="143">
        <f t="shared" si="38"/>
        <v>128.49817787490031</v>
      </c>
      <c r="AH60" s="143">
        <f t="shared" si="38"/>
        <v>128.96411112106122</v>
      </c>
      <c r="AI60" s="143">
        <f t="shared" si="38"/>
        <v>129.43252503668666</v>
      </c>
      <c r="AJ60" s="143">
        <f t="shared" si="38"/>
        <v>129.90090618565648</v>
      </c>
      <c r="AK60" s="143">
        <f t="shared" si="38"/>
        <v>130.37029313043249</v>
      </c>
      <c r="AL60" s="143">
        <f t="shared" si="38"/>
        <v>130.83973492081614</v>
      </c>
      <c r="AM60" s="143">
        <f t="shared" si="38"/>
        <v>131.31009264911</v>
      </c>
      <c r="AN60" s="143">
        <f t="shared" si="38"/>
        <v>131.76872873038502</v>
      </c>
      <c r="AO60" s="143">
        <f t="shared" si="38"/>
        <v>132.24104880378147</v>
      </c>
      <c r="AP60" s="143">
        <f t="shared" si="38"/>
        <v>132.71440144763014</v>
      </c>
      <c r="AQ60" s="143">
        <f t="shared" si="38"/>
        <v>133.188495013661</v>
      </c>
      <c r="AR60" s="143">
        <f t="shared" si="38"/>
        <v>133.65853160962706</v>
      </c>
      <c r="AS60" s="143">
        <f t="shared" si="38"/>
        <v>134.13505873396426</v>
      </c>
      <c r="AT60" s="143">
        <f t="shared" si="38"/>
        <v>134.61189544093097</v>
      </c>
      <c r="AU60" s="143" t="str">
        <f t="shared" si="38"/>
        <v/>
      </c>
      <c r="AV60" s="143" t="str">
        <f t="shared" si="38"/>
        <v/>
      </c>
      <c r="AW60" s="143" t="str">
        <f t="shared" si="38"/>
        <v/>
      </c>
      <c r="AX60" s="143" t="str">
        <f t="shared" si="38"/>
        <v/>
      </c>
      <c r="AY60" s="143" t="str">
        <f t="shared" si="38"/>
        <v/>
      </c>
      <c r="AZ60" s="143" t="str">
        <f t="shared" si="38"/>
        <v/>
      </c>
      <c r="BA60" s="143" t="str">
        <f t="shared" si="38"/>
        <v/>
      </c>
      <c r="BB60" s="143" t="str">
        <f t="shared" si="38"/>
        <v/>
      </c>
      <c r="BC60" s="143" t="str">
        <f t="shared" si="38"/>
        <v/>
      </c>
      <c r="BD60" s="143" t="str">
        <f t="shared" si="38"/>
        <v/>
      </c>
      <c r="BE60" s="143" t="str">
        <f t="shared" si="38"/>
        <v/>
      </c>
      <c r="BF60" s="143" t="str">
        <f t="shared" si="38"/>
        <v/>
      </c>
      <c r="BG60" s="143" t="str">
        <f t="shared" si="38"/>
        <v/>
      </c>
      <c r="BH60" s="143" t="str">
        <f t="shared" si="38"/>
        <v/>
      </c>
      <c r="BI60" s="143" t="str">
        <f t="shared" si="38"/>
        <v/>
      </c>
      <c r="BJ60" s="143" t="str">
        <f t="shared" si="38"/>
        <v/>
      </c>
      <c r="BK60" s="143" t="str">
        <f t="shared" si="38"/>
        <v/>
      </c>
      <c r="BL60" s="143" t="str">
        <f t="shared" si="38"/>
        <v/>
      </c>
      <c r="BM60" s="143" t="str">
        <f t="shared" si="38"/>
        <v/>
      </c>
      <c r="BN60" s="143" t="str">
        <f t="shared" si="38"/>
        <v/>
      </c>
      <c r="BO60" s="143" t="str">
        <f t="shared" si="38"/>
        <v/>
      </c>
      <c r="BP60" s="143" t="str">
        <f t="shared" si="38"/>
        <v/>
      </c>
      <c r="BQ60" s="143" t="str">
        <f t="shared" si="38"/>
        <v/>
      </c>
      <c r="BR60" s="143" t="str">
        <f t="shared" si="38"/>
        <v/>
      </c>
      <c r="BS60" s="143" t="str">
        <f t="shared" si="38"/>
        <v/>
      </c>
      <c r="BT60" s="143" t="str">
        <f t="shared" ref="BT60:CX60" si="39">IF(OR(BT39&gt;$D$17,BT39=""),"",BT59+BT41)</f>
        <v/>
      </c>
      <c r="BU60" s="143" t="str">
        <f t="shared" si="39"/>
        <v/>
      </c>
      <c r="BV60" s="143" t="str">
        <f t="shared" si="39"/>
        <v/>
      </c>
      <c r="BW60" s="143" t="str">
        <f t="shared" si="39"/>
        <v/>
      </c>
      <c r="BX60" s="143" t="str">
        <f t="shared" si="39"/>
        <v/>
      </c>
      <c r="BY60" s="143" t="str">
        <f t="shared" si="39"/>
        <v/>
      </c>
      <c r="BZ60" s="143" t="str">
        <f t="shared" si="39"/>
        <v/>
      </c>
      <c r="CA60" s="143" t="str">
        <f t="shared" si="39"/>
        <v/>
      </c>
      <c r="CB60" s="143" t="str">
        <f t="shared" si="39"/>
        <v/>
      </c>
      <c r="CC60" s="143" t="str">
        <f t="shared" si="39"/>
        <v/>
      </c>
      <c r="CD60" s="143" t="str">
        <f t="shared" si="39"/>
        <v/>
      </c>
      <c r="CE60" s="143" t="str">
        <f t="shared" si="39"/>
        <v/>
      </c>
      <c r="CF60" s="143" t="str">
        <f t="shared" si="39"/>
        <v/>
      </c>
      <c r="CG60" s="143" t="str">
        <f t="shared" si="39"/>
        <v/>
      </c>
      <c r="CH60" s="143" t="str">
        <f t="shared" si="39"/>
        <v/>
      </c>
      <c r="CI60" s="143" t="str">
        <f t="shared" si="39"/>
        <v/>
      </c>
      <c r="CJ60" s="143" t="str">
        <f t="shared" si="39"/>
        <v/>
      </c>
      <c r="CK60" s="143" t="str">
        <f t="shared" si="39"/>
        <v/>
      </c>
      <c r="CL60" s="143" t="str">
        <f t="shared" si="39"/>
        <v/>
      </c>
      <c r="CM60" s="143" t="str">
        <f t="shared" si="39"/>
        <v/>
      </c>
      <c r="CN60" s="143" t="str">
        <f t="shared" si="39"/>
        <v/>
      </c>
      <c r="CO60" s="143" t="str">
        <f t="shared" si="39"/>
        <v/>
      </c>
      <c r="CP60" s="143" t="str">
        <f t="shared" si="39"/>
        <v/>
      </c>
      <c r="CQ60" s="143" t="str">
        <f t="shared" si="39"/>
        <v/>
      </c>
      <c r="CR60" s="143" t="str">
        <f t="shared" si="39"/>
        <v/>
      </c>
      <c r="CS60" s="143" t="str">
        <f t="shared" si="39"/>
        <v/>
      </c>
      <c r="CT60" s="143" t="str">
        <f t="shared" si="39"/>
        <v/>
      </c>
      <c r="CU60" s="143" t="str">
        <f t="shared" si="39"/>
        <v/>
      </c>
      <c r="CV60" s="143" t="str">
        <f t="shared" si="39"/>
        <v/>
      </c>
      <c r="CW60" s="143" t="str">
        <f t="shared" si="39"/>
        <v/>
      </c>
      <c r="CX60" s="144" t="str">
        <f t="shared" si="39"/>
        <v/>
      </c>
    </row>
    <row r="61" spans="2:102">
      <c r="B61" s="82"/>
      <c r="C61" s="103"/>
      <c r="D61" s="103"/>
      <c r="E61" s="156"/>
      <c r="F61" s="156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57"/>
      <c r="Y61" s="156"/>
      <c r="Z61" s="156"/>
      <c r="AA61" s="156"/>
      <c r="AB61" s="156"/>
      <c r="AC61" s="103"/>
      <c r="AD61" s="103"/>
      <c r="AE61" s="103"/>
      <c r="AF61" s="158"/>
      <c r="AG61" s="156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  <c r="CD61" s="82"/>
      <c r="CE61" s="82"/>
      <c r="CF61" s="82"/>
      <c r="CG61" s="82"/>
      <c r="CH61" s="82"/>
      <c r="CI61" s="82"/>
      <c r="CJ61" s="82"/>
      <c r="CK61" s="82"/>
      <c r="CL61" s="82"/>
      <c r="CM61" s="82"/>
      <c r="CN61" s="82"/>
      <c r="CO61" s="82"/>
      <c r="CP61" s="82"/>
      <c r="CQ61" s="82"/>
      <c r="CR61" s="82"/>
      <c r="CS61" s="82"/>
      <c r="CT61" s="82"/>
      <c r="CU61" s="82"/>
      <c r="CV61" s="82"/>
      <c r="CW61" s="82"/>
      <c r="CX61" s="82"/>
    </row>
    <row r="62" spans="2:102">
      <c r="B62" s="82"/>
      <c r="C62" s="103"/>
      <c r="D62" s="103"/>
      <c r="E62" s="159"/>
      <c r="F62" s="159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03"/>
      <c r="AG62" s="103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  <c r="CD62" s="82"/>
      <c r="CE62" s="82"/>
      <c r="CF62" s="82"/>
      <c r="CG62" s="82"/>
      <c r="CH62" s="82"/>
      <c r="CI62" s="82"/>
      <c r="CJ62" s="82"/>
      <c r="CK62" s="82"/>
      <c r="CL62" s="82"/>
      <c r="CM62" s="82"/>
      <c r="CN62" s="82"/>
      <c r="CO62" s="82"/>
      <c r="CP62" s="82"/>
      <c r="CQ62" s="82"/>
      <c r="CR62" s="82"/>
      <c r="CS62" s="82"/>
      <c r="CT62" s="82"/>
      <c r="CU62" s="82"/>
      <c r="CV62" s="82"/>
      <c r="CW62" s="82"/>
      <c r="CX62" s="82"/>
    </row>
    <row r="63" spans="2:102">
      <c r="B63" s="82"/>
      <c r="C63" s="103"/>
      <c r="D63" s="103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03"/>
      <c r="AG63" s="103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  <c r="CD63" s="82"/>
      <c r="CE63" s="82"/>
      <c r="CF63" s="82"/>
      <c r="CG63" s="82"/>
      <c r="CH63" s="82"/>
      <c r="CI63" s="82"/>
      <c r="CJ63" s="82"/>
      <c r="CK63" s="82"/>
      <c r="CL63" s="82"/>
      <c r="CM63" s="82"/>
      <c r="CN63" s="82"/>
      <c r="CO63" s="82"/>
      <c r="CP63" s="82"/>
      <c r="CQ63" s="82"/>
      <c r="CR63" s="82"/>
      <c r="CS63" s="82"/>
      <c r="CT63" s="82"/>
      <c r="CU63" s="82"/>
      <c r="CV63" s="82"/>
      <c r="CW63" s="82"/>
      <c r="CX63" s="82"/>
    </row>
    <row r="64" spans="2:102" ht="21.75">
      <c r="B64" s="82"/>
      <c r="C64" s="103"/>
      <c r="D64" s="103"/>
      <c r="E64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03"/>
      <c r="AG64" s="103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</row>
    <row r="65" spans="3:33">
      <c r="C65" s="103"/>
      <c r="D65" s="103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03"/>
      <c r="AG65" s="103"/>
    </row>
    <row r="66" spans="3:33">
      <c r="C66" s="103"/>
      <c r="D66" s="103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6"/>
      <c r="AE66" s="156"/>
      <c r="AF66" s="103"/>
      <c r="AG66" s="103"/>
    </row>
    <row r="67" spans="3:33">
      <c r="C67" s="103"/>
      <c r="D67" s="103"/>
      <c r="E67" s="156"/>
      <c r="F67" s="156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</row>
    <row r="68" spans="3:33"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</row>
    <row r="69" spans="3:33">
      <c r="C69" s="103"/>
      <c r="D69" s="103"/>
      <c r="E69" s="159"/>
      <c r="F69" s="159"/>
      <c r="G69" s="160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103"/>
      <c r="AB69" s="103"/>
      <c r="AC69" s="103"/>
      <c r="AD69" s="103"/>
      <c r="AE69" s="103"/>
      <c r="AF69" s="103"/>
      <c r="AG69" s="103"/>
    </row>
    <row r="72" spans="3:33">
      <c r="C72" s="82"/>
      <c r="D72" s="82"/>
      <c r="E72" s="161"/>
      <c r="F72" s="161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82"/>
      <c r="AE72" s="82"/>
      <c r="AF72" s="82"/>
      <c r="AG72" s="82"/>
    </row>
    <row r="73" spans="3:33">
      <c r="C73" s="82"/>
      <c r="D73" s="82"/>
      <c r="E73" s="161"/>
      <c r="F73" s="161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</row>
  </sheetData>
  <mergeCells count="44">
    <mergeCell ref="C6:D6"/>
    <mergeCell ref="F6:I6"/>
    <mergeCell ref="C7:D7"/>
    <mergeCell ref="F7:I7"/>
    <mergeCell ref="C8:D8"/>
    <mergeCell ref="F8:I8"/>
    <mergeCell ref="B18:B20"/>
    <mergeCell ref="F18:I18"/>
    <mergeCell ref="F19:I19"/>
    <mergeCell ref="F20:I20"/>
    <mergeCell ref="C9:D9"/>
    <mergeCell ref="F9:I9"/>
    <mergeCell ref="C10:D10"/>
    <mergeCell ref="F10:I10"/>
    <mergeCell ref="C11:D11"/>
    <mergeCell ref="F11:I11"/>
    <mergeCell ref="F14:I14"/>
    <mergeCell ref="B15:B17"/>
    <mergeCell ref="F15:I15"/>
    <mergeCell ref="F16:I16"/>
    <mergeCell ref="F17:I17"/>
    <mergeCell ref="F21:I21"/>
    <mergeCell ref="B22:B23"/>
    <mergeCell ref="F22:I22"/>
    <mergeCell ref="F23:I23"/>
    <mergeCell ref="B24:B26"/>
    <mergeCell ref="F24:I24"/>
    <mergeCell ref="F25:I25"/>
    <mergeCell ref="F26:I26"/>
    <mergeCell ref="B27:B29"/>
    <mergeCell ref="F27:I27"/>
    <mergeCell ref="F28:I28"/>
    <mergeCell ref="F29:I29"/>
    <mergeCell ref="B30:B31"/>
    <mergeCell ref="F30:I30"/>
    <mergeCell ref="F31:I31"/>
    <mergeCell ref="B45:B57"/>
    <mergeCell ref="B58:B59"/>
    <mergeCell ref="F32:I32"/>
    <mergeCell ref="F33:I33"/>
    <mergeCell ref="F34:I34"/>
    <mergeCell ref="F38:CX38"/>
    <mergeCell ref="B40:B41"/>
    <mergeCell ref="B42:B44"/>
  </mergeCells>
  <conditionalFormatting sqref="E7:E11">
    <cfRule type="expression" dxfId="11" priority="11">
      <formula>E7="N"</formula>
    </cfRule>
    <cfRule type="expression" dxfId="10" priority="12">
      <formula>E7="Y"</formula>
    </cfRule>
  </conditionalFormatting>
  <conditionalFormatting sqref="E15:E20">
    <cfRule type="expression" dxfId="9" priority="9">
      <formula>E15="N"</formula>
    </cfRule>
    <cfRule type="expression" dxfId="8" priority="10">
      <formula>E15="Y"</formula>
    </cfRule>
  </conditionalFormatting>
  <conditionalFormatting sqref="E21:E26">
    <cfRule type="expression" dxfId="7" priority="7">
      <formula>E21="N"</formula>
    </cfRule>
    <cfRule type="expression" dxfId="6" priority="8">
      <formula>E21="Y"</formula>
    </cfRule>
  </conditionalFormatting>
  <conditionalFormatting sqref="E27:E29">
    <cfRule type="expression" dxfId="5" priority="5">
      <formula>E27="N"</formula>
    </cfRule>
    <cfRule type="expression" dxfId="4" priority="6">
      <formula>E27="Y"</formula>
    </cfRule>
  </conditionalFormatting>
  <conditionalFormatting sqref="E30:E32">
    <cfRule type="expression" dxfId="3" priority="3">
      <formula>E30="N"</formula>
    </cfRule>
    <cfRule type="expression" dxfId="2" priority="4">
      <formula>E30="Y"</formula>
    </cfRule>
  </conditionalFormatting>
  <conditionalFormatting sqref="E33:E34">
    <cfRule type="expression" dxfId="1" priority="1">
      <formula>E33="N"</formula>
    </cfRule>
    <cfRule type="expression" dxfId="0" priority="2">
      <formula>E33="Y"</formula>
    </cfRule>
  </conditionalFormatting>
  <dataValidations count="1">
    <dataValidation type="list" allowBlank="1" showInputMessage="1" showErrorMessage="1" sqref="E7:E11 E15:E34" xr:uid="{00000000-0002-0000-0200-000000000000}">
      <formula1>"Y,N"</formula1>
    </dataValidation>
  </dataValidations>
  <pageMargins left="0.35433070866141736" right="0.23622047244094491" top="0.47244094488188981" bottom="0.31496062992125984" header="0.51181102362204722" footer="0.51181102362204722"/>
  <pageSetup paperSize="9" scale="7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52"/>
  <sheetViews>
    <sheetView zoomScaleNormal="100" workbookViewId="0">
      <selection activeCell="F23" sqref="F23"/>
    </sheetView>
  </sheetViews>
  <sheetFormatPr defaultRowHeight="12.75"/>
  <cols>
    <col min="1" max="1" width="10" style="1" bestFit="1" customWidth="1"/>
    <col min="2" max="2" width="7" style="1" customWidth="1"/>
    <col min="3" max="3" width="21.7109375" style="1" customWidth="1"/>
    <col min="4" max="4" width="35.42578125" style="1" customWidth="1"/>
    <col min="5" max="5" width="9.140625" style="1"/>
    <col min="6" max="6" width="14.7109375" style="1" customWidth="1"/>
    <col min="7" max="7" width="27" style="1" customWidth="1"/>
    <col min="8" max="9" width="9.140625" style="1"/>
    <col min="10" max="10" width="10.7109375" style="1" customWidth="1"/>
    <col min="11" max="11" width="17.7109375" style="1" customWidth="1"/>
    <col min="12" max="16384" width="9.140625" style="1"/>
  </cols>
  <sheetData>
    <row r="1" spans="1:89" ht="18" customHeight="1">
      <c r="A1" s="3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32"/>
      <c r="CE1" s="32"/>
      <c r="CF1" s="32"/>
      <c r="CG1" s="32"/>
      <c r="CH1" s="32"/>
      <c r="CI1" s="32"/>
      <c r="CJ1" s="32"/>
      <c r="CK1" s="32"/>
    </row>
    <row r="2" spans="1:89" ht="18" customHeight="1">
      <c r="A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</row>
    <row r="3" spans="1:89" ht="18" customHeight="1">
      <c r="A3"/>
      <c r="B3" s="31"/>
      <c r="C3" s="26"/>
      <c r="D3" s="28" t="s">
        <v>83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</row>
    <row r="4" spans="1:89" ht="18" customHeight="1">
      <c r="A4"/>
      <c r="B4" s="31"/>
      <c r="C4" s="5" t="s">
        <v>84</v>
      </c>
      <c r="D4" s="5">
        <v>1</v>
      </c>
      <c r="E4" s="5">
        <v>2</v>
      </c>
      <c r="F4" s="5">
        <v>3</v>
      </c>
      <c r="G4" s="5">
        <v>4</v>
      </c>
      <c r="H4" s="5">
        <v>5</v>
      </c>
      <c r="I4" s="5">
        <v>6</v>
      </c>
      <c r="J4" s="5">
        <v>7</v>
      </c>
      <c r="K4" s="5">
        <v>8</v>
      </c>
      <c r="L4" s="5">
        <v>9</v>
      </c>
      <c r="M4" s="5">
        <v>10</v>
      </c>
      <c r="N4" s="5">
        <v>11</v>
      </c>
      <c r="O4" s="5">
        <v>12</v>
      </c>
      <c r="P4" s="5">
        <v>13</v>
      </c>
      <c r="Q4" s="5">
        <v>14</v>
      </c>
      <c r="R4" s="5">
        <v>15</v>
      </c>
      <c r="S4" s="5">
        <v>16</v>
      </c>
      <c r="T4" s="5">
        <v>17</v>
      </c>
      <c r="U4" s="5">
        <v>18</v>
      </c>
      <c r="V4" s="5">
        <v>19</v>
      </c>
      <c r="W4" s="5">
        <v>20</v>
      </c>
      <c r="X4" s="5">
        <v>21</v>
      </c>
      <c r="Y4" s="5">
        <v>22</v>
      </c>
      <c r="Z4" s="5">
        <v>23</v>
      </c>
      <c r="AA4" s="5">
        <v>24</v>
      </c>
      <c r="AB4" s="5">
        <v>25</v>
      </c>
      <c r="AC4" s="5">
        <v>26</v>
      </c>
      <c r="AD4" s="5">
        <v>27</v>
      </c>
      <c r="AE4" s="5">
        <v>28</v>
      </c>
      <c r="AF4" s="5">
        <v>29</v>
      </c>
      <c r="AG4" s="5">
        <v>30</v>
      </c>
      <c r="AH4" s="5">
        <v>31</v>
      </c>
      <c r="AI4" s="5">
        <v>32</v>
      </c>
      <c r="AJ4" s="5">
        <v>33</v>
      </c>
      <c r="AK4" s="5">
        <v>34</v>
      </c>
      <c r="AL4" s="5">
        <v>35</v>
      </c>
      <c r="AM4" s="5">
        <v>36</v>
      </c>
      <c r="AN4" s="5">
        <v>37</v>
      </c>
      <c r="AO4" s="5">
        <v>38</v>
      </c>
      <c r="AP4" s="5">
        <v>39</v>
      </c>
      <c r="AQ4" s="5">
        <v>40</v>
      </c>
      <c r="AR4" s="5">
        <v>41</v>
      </c>
      <c r="AS4" s="5">
        <v>42</v>
      </c>
      <c r="AT4" s="5">
        <v>43</v>
      </c>
      <c r="AU4" s="5">
        <v>44</v>
      </c>
      <c r="AV4" s="5">
        <v>45</v>
      </c>
      <c r="AW4" s="5">
        <v>46</v>
      </c>
      <c r="AX4" s="5">
        <v>47</v>
      </c>
      <c r="AY4" s="5">
        <v>48</v>
      </c>
      <c r="AZ4" s="5">
        <v>49</v>
      </c>
      <c r="BA4" s="5">
        <v>50</v>
      </c>
      <c r="BB4" s="5">
        <v>51</v>
      </c>
      <c r="BC4" s="5">
        <v>52</v>
      </c>
      <c r="BD4" s="5">
        <v>53</v>
      </c>
      <c r="BE4" s="5">
        <v>54</v>
      </c>
      <c r="BF4" s="5">
        <v>55</v>
      </c>
      <c r="BG4" s="5">
        <v>56</v>
      </c>
      <c r="BH4" s="5">
        <v>57</v>
      </c>
      <c r="BI4" s="5">
        <v>58</v>
      </c>
      <c r="BJ4" s="5">
        <v>59</v>
      </c>
      <c r="BK4" s="5">
        <v>60</v>
      </c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</row>
    <row r="5" spans="1:89" ht="18" customHeight="1">
      <c r="A5"/>
      <c r="B5" s="32"/>
      <c r="C5" s="15">
        <v>1</v>
      </c>
      <c r="D5" s="14">
        <v>1E-4</v>
      </c>
      <c r="E5" s="14">
        <v>2.0000000000000001E-4</v>
      </c>
      <c r="F5" s="14">
        <v>2.9999999999999997E-4</v>
      </c>
      <c r="G5" s="14">
        <v>4.0000000000000002E-4</v>
      </c>
      <c r="H5" s="14">
        <v>5.0000000000000001E-4</v>
      </c>
      <c r="I5" s="14">
        <v>5.9999999999999995E-4</v>
      </c>
      <c r="J5" s="14">
        <v>8.0000000000000004E-4</v>
      </c>
      <c r="K5" s="14">
        <v>8.9999999999999998E-4</v>
      </c>
      <c r="L5" s="14">
        <v>1.1000000000000001E-3</v>
      </c>
      <c r="M5" s="14">
        <v>1.2999999999999999E-3</v>
      </c>
      <c r="N5" s="14">
        <v>1.4E-3</v>
      </c>
      <c r="O5" s="14">
        <v>1.6000000000000001E-3</v>
      </c>
      <c r="P5" s="14">
        <v>1.9E-3</v>
      </c>
      <c r="Q5" s="14">
        <v>2.0999999999999999E-3</v>
      </c>
      <c r="R5" s="14">
        <v>2.3E-3</v>
      </c>
      <c r="S5" s="14">
        <v>2.5000000000000001E-3</v>
      </c>
      <c r="T5" s="14">
        <v>2.8E-3</v>
      </c>
      <c r="U5" s="14">
        <v>3.0999999999999999E-3</v>
      </c>
      <c r="V5" s="14">
        <v>3.3E-3</v>
      </c>
      <c r="W5" s="14">
        <v>3.5999999999999999E-3</v>
      </c>
      <c r="X5" s="14">
        <v>3.8999999999999998E-3</v>
      </c>
      <c r="Y5" s="14">
        <v>4.1999999999999997E-3</v>
      </c>
      <c r="Z5" s="14">
        <v>4.4999999999999997E-3</v>
      </c>
      <c r="AA5" s="14">
        <v>4.8999999999999998E-3</v>
      </c>
      <c r="AB5" s="14">
        <v>5.1999999999999998E-3</v>
      </c>
      <c r="AC5" s="14">
        <v>5.5999999999999999E-3</v>
      </c>
      <c r="AD5" s="14">
        <v>5.8999999999999999E-3</v>
      </c>
      <c r="AE5" s="14">
        <v>6.3E-3</v>
      </c>
      <c r="AF5" s="14">
        <v>6.6E-3</v>
      </c>
      <c r="AG5" s="14">
        <v>7.0000000000000001E-3</v>
      </c>
      <c r="AH5" s="14">
        <v>7.4000000000000003E-3</v>
      </c>
      <c r="AI5" s="14">
        <v>7.7999999999999996E-3</v>
      </c>
      <c r="AJ5" s="14">
        <v>8.2000000000000007E-3</v>
      </c>
      <c r="AK5" s="14">
        <v>8.6999999999999994E-3</v>
      </c>
      <c r="AL5" s="14">
        <v>9.1000000000000004E-3</v>
      </c>
      <c r="AM5" s="14">
        <v>9.4999999999999998E-3</v>
      </c>
      <c r="AN5" s="14">
        <v>0.01</v>
      </c>
      <c r="AO5" s="14">
        <v>1.04E-2</v>
      </c>
      <c r="AP5" s="14">
        <v>1.09E-2</v>
      </c>
      <c r="AQ5" s="14">
        <v>1.1299999999999999E-2</v>
      </c>
      <c r="AR5" s="14">
        <v>1.18E-2</v>
      </c>
      <c r="AS5" s="14">
        <v>1.23E-2</v>
      </c>
      <c r="AT5" s="14">
        <v>1.2800000000000001E-2</v>
      </c>
      <c r="AU5" s="14">
        <v>1.3299999999999999E-2</v>
      </c>
      <c r="AV5" s="14">
        <v>1.38E-2</v>
      </c>
      <c r="AW5" s="14">
        <v>1.43E-2</v>
      </c>
      <c r="AX5" s="14">
        <v>1.4800000000000001E-2</v>
      </c>
      <c r="AY5" s="14">
        <v>1.5299999999999999E-2</v>
      </c>
      <c r="AZ5" s="14">
        <v>1.5800000000000002E-2</v>
      </c>
      <c r="BA5" s="14">
        <v>1.6400000000000001E-2</v>
      </c>
      <c r="BB5" s="14">
        <v>1.6899999999999998E-2</v>
      </c>
      <c r="BC5" s="14">
        <v>1.7399999999999999E-2</v>
      </c>
      <c r="BD5" s="14">
        <v>1.7999999999999999E-2</v>
      </c>
      <c r="BE5" s="14">
        <v>1.8499999999999999E-2</v>
      </c>
      <c r="BF5" s="14">
        <v>1.9099999999999999E-2</v>
      </c>
      <c r="BG5" s="14">
        <v>1.9699999999999999E-2</v>
      </c>
      <c r="BH5" s="14">
        <v>2.0199999999999999E-2</v>
      </c>
      <c r="BI5" s="14">
        <v>2.0799999999999999E-2</v>
      </c>
      <c r="BJ5" s="14">
        <v>2.1399999999999999E-2</v>
      </c>
      <c r="BK5" s="14">
        <v>2.1999999999999999E-2</v>
      </c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</row>
    <row r="6" spans="1:89" ht="18" customHeight="1">
      <c r="A6"/>
      <c r="B6" s="31"/>
      <c r="C6" s="15">
        <v>2</v>
      </c>
      <c r="D6" s="14">
        <v>1E-4</v>
      </c>
      <c r="E6" s="14">
        <v>4.0000000000000002E-4</v>
      </c>
      <c r="F6" s="14">
        <v>8.0000000000000004E-4</v>
      </c>
      <c r="G6" s="14">
        <v>1.1999999999999999E-3</v>
      </c>
      <c r="H6" s="14">
        <v>1.6000000000000001E-3</v>
      </c>
      <c r="I6" s="14">
        <v>2.0999999999999999E-3</v>
      </c>
      <c r="J6" s="14">
        <v>2.5999999999999999E-3</v>
      </c>
      <c r="K6" s="14">
        <v>3.2000000000000002E-3</v>
      </c>
      <c r="L6" s="14">
        <v>3.7000000000000002E-3</v>
      </c>
      <c r="M6" s="14">
        <v>4.3E-3</v>
      </c>
      <c r="N6" s="14">
        <v>4.8999999999999998E-3</v>
      </c>
      <c r="O6" s="14">
        <v>5.5999999999999999E-3</v>
      </c>
      <c r="P6" s="14">
        <v>6.3E-3</v>
      </c>
      <c r="Q6" s="14">
        <v>7.0000000000000001E-3</v>
      </c>
      <c r="R6" s="14">
        <v>7.7000000000000002E-3</v>
      </c>
      <c r="S6" s="14">
        <v>8.5000000000000006E-3</v>
      </c>
      <c r="T6" s="14">
        <v>9.1999999999999998E-3</v>
      </c>
      <c r="U6" s="14">
        <v>0.01</v>
      </c>
      <c r="V6" s="14">
        <v>1.09E-2</v>
      </c>
      <c r="W6" s="14">
        <v>1.17E-2</v>
      </c>
      <c r="X6" s="14">
        <v>1.2500000000000001E-2</v>
      </c>
      <c r="Y6" s="14">
        <v>1.34E-2</v>
      </c>
      <c r="Z6" s="14">
        <v>1.43E-2</v>
      </c>
      <c r="AA6" s="14">
        <v>1.52E-2</v>
      </c>
      <c r="AB6" s="14">
        <v>1.6199999999999999E-2</v>
      </c>
      <c r="AC6" s="14">
        <v>1.7100000000000001E-2</v>
      </c>
      <c r="AD6" s="14">
        <v>1.7999999999999999E-2</v>
      </c>
      <c r="AE6" s="14">
        <v>1.9E-2</v>
      </c>
      <c r="AF6" s="14">
        <v>0.02</v>
      </c>
      <c r="AG6" s="14">
        <v>2.1000000000000001E-2</v>
      </c>
      <c r="AH6" s="14">
        <v>2.1999999999999999E-2</v>
      </c>
      <c r="AI6" s="14">
        <v>2.3E-2</v>
      </c>
      <c r="AJ6" s="14">
        <v>2.4E-2</v>
      </c>
      <c r="AK6" s="14">
        <v>2.5000000000000001E-2</v>
      </c>
      <c r="AL6" s="14">
        <v>2.6100000000000002E-2</v>
      </c>
      <c r="AM6" s="14">
        <v>2.7099999999999999E-2</v>
      </c>
      <c r="AN6" s="14">
        <v>2.8199999999999999E-2</v>
      </c>
      <c r="AO6" s="14">
        <v>2.92E-2</v>
      </c>
      <c r="AP6" s="14">
        <v>3.0300000000000001E-2</v>
      </c>
      <c r="AQ6" s="14">
        <v>3.1300000000000001E-2</v>
      </c>
      <c r="AR6" s="14">
        <v>3.2399999999999998E-2</v>
      </c>
      <c r="AS6" s="14">
        <v>3.3500000000000002E-2</v>
      </c>
      <c r="AT6" s="14">
        <v>3.4599999999999999E-2</v>
      </c>
      <c r="AU6" s="14">
        <v>3.56E-2</v>
      </c>
      <c r="AV6" s="14">
        <v>3.6700000000000003E-2</v>
      </c>
      <c r="AW6" s="14">
        <v>3.78E-2</v>
      </c>
      <c r="AX6" s="14">
        <v>3.8899999999999997E-2</v>
      </c>
      <c r="AY6" s="14">
        <v>0.04</v>
      </c>
      <c r="AZ6" s="14">
        <v>4.1099999999999998E-2</v>
      </c>
      <c r="BA6" s="14">
        <v>4.2099999999999999E-2</v>
      </c>
      <c r="BB6" s="14">
        <v>4.3200000000000002E-2</v>
      </c>
      <c r="BC6" s="14">
        <v>4.4299999999999999E-2</v>
      </c>
      <c r="BD6" s="14">
        <v>4.5400000000000003E-2</v>
      </c>
      <c r="BE6" s="14">
        <v>4.65E-2</v>
      </c>
      <c r="BF6" s="14">
        <v>4.7600000000000003E-2</v>
      </c>
      <c r="BG6" s="14">
        <v>4.87E-2</v>
      </c>
      <c r="BH6" s="14">
        <v>4.9799999999999997E-2</v>
      </c>
      <c r="BI6" s="14">
        <v>5.0799999999999998E-2</v>
      </c>
      <c r="BJ6" s="14">
        <v>5.1900000000000002E-2</v>
      </c>
      <c r="BK6" s="14">
        <v>5.2999999999999999E-2</v>
      </c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</row>
    <row r="7" spans="1:89" ht="18" customHeight="1">
      <c r="A7"/>
      <c r="B7" s="31"/>
      <c r="C7" s="15">
        <v>3</v>
      </c>
      <c r="D7" s="14">
        <v>2.9999999999999997E-4</v>
      </c>
      <c r="E7" s="14">
        <v>8.9999999999999998E-4</v>
      </c>
      <c r="F7" s="14">
        <v>1.6999999999999999E-3</v>
      </c>
      <c r="G7" s="14">
        <v>2.5000000000000001E-3</v>
      </c>
      <c r="H7" s="14">
        <v>3.5000000000000001E-3</v>
      </c>
      <c r="I7" s="14">
        <v>4.5999999999999999E-3</v>
      </c>
      <c r="J7" s="14">
        <v>5.7000000000000002E-3</v>
      </c>
      <c r="K7" s="14">
        <v>6.8999999999999999E-3</v>
      </c>
      <c r="L7" s="14">
        <v>8.2000000000000007E-3</v>
      </c>
      <c r="M7" s="14">
        <v>9.4999999999999998E-3</v>
      </c>
      <c r="N7" s="14">
        <v>1.09E-2</v>
      </c>
      <c r="O7" s="14">
        <v>1.23E-2</v>
      </c>
      <c r="P7" s="14">
        <v>1.37E-2</v>
      </c>
      <c r="Q7" s="14">
        <v>1.5100000000000001E-2</v>
      </c>
      <c r="R7" s="14">
        <v>1.66E-2</v>
      </c>
      <c r="S7" s="14">
        <v>1.8100000000000002E-2</v>
      </c>
      <c r="T7" s="14">
        <v>1.95E-2</v>
      </c>
      <c r="U7" s="14">
        <v>2.1000000000000001E-2</v>
      </c>
      <c r="V7" s="14">
        <v>2.2499999999999999E-2</v>
      </c>
      <c r="W7" s="14">
        <v>2.41E-2</v>
      </c>
      <c r="X7" s="14">
        <v>2.5600000000000001E-2</v>
      </c>
      <c r="Y7" s="14">
        <v>2.7099999999999999E-2</v>
      </c>
      <c r="Z7" s="14">
        <v>2.86E-2</v>
      </c>
      <c r="AA7" s="14">
        <v>3.0099999999999998E-2</v>
      </c>
      <c r="AB7" s="14">
        <v>3.1600000000000003E-2</v>
      </c>
      <c r="AC7" s="14">
        <v>3.3099999999999997E-2</v>
      </c>
      <c r="AD7" s="14">
        <v>3.4599999999999999E-2</v>
      </c>
      <c r="AE7" s="14">
        <v>3.61E-2</v>
      </c>
      <c r="AF7" s="14">
        <v>3.7600000000000001E-2</v>
      </c>
      <c r="AG7" s="14">
        <v>3.9100000000000003E-2</v>
      </c>
      <c r="AH7" s="14">
        <v>4.0599999999999997E-2</v>
      </c>
      <c r="AI7" s="14">
        <v>4.2099999999999999E-2</v>
      </c>
      <c r="AJ7" s="14">
        <v>4.3499999999999997E-2</v>
      </c>
      <c r="AK7" s="14">
        <v>4.4999999999999998E-2</v>
      </c>
      <c r="AL7" s="14">
        <v>4.6399999999999997E-2</v>
      </c>
      <c r="AM7" s="14">
        <v>4.7899999999999998E-2</v>
      </c>
      <c r="AN7" s="14">
        <v>4.9299999999999997E-2</v>
      </c>
      <c r="AO7" s="14">
        <v>5.0799999999999998E-2</v>
      </c>
      <c r="AP7" s="14">
        <v>5.2200000000000003E-2</v>
      </c>
      <c r="AQ7" s="14">
        <v>5.3600000000000002E-2</v>
      </c>
      <c r="AR7" s="14">
        <v>5.5E-2</v>
      </c>
      <c r="AS7" s="14">
        <v>5.6399999999999999E-2</v>
      </c>
      <c r="AT7" s="14">
        <v>5.7799999999999997E-2</v>
      </c>
      <c r="AU7" s="14">
        <v>5.9200000000000003E-2</v>
      </c>
      <c r="AV7" s="14">
        <v>6.0600000000000001E-2</v>
      </c>
      <c r="AW7" s="14">
        <v>6.2E-2</v>
      </c>
      <c r="AX7" s="14">
        <v>6.3299999999999995E-2</v>
      </c>
      <c r="AY7" s="14">
        <v>6.4699999999999994E-2</v>
      </c>
      <c r="AZ7" s="14">
        <v>6.6000000000000003E-2</v>
      </c>
      <c r="BA7" s="14">
        <v>6.7400000000000002E-2</v>
      </c>
      <c r="BB7" s="14">
        <v>6.8699999999999997E-2</v>
      </c>
      <c r="BC7" s="14">
        <v>7.0000000000000007E-2</v>
      </c>
      <c r="BD7" s="14">
        <v>7.1400000000000005E-2</v>
      </c>
      <c r="BE7" s="14">
        <v>7.2700000000000001E-2</v>
      </c>
      <c r="BF7" s="14">
        <v>7.3999999999999996E-2</v>
      </c>
      <c r="BG7" s="14">
        <v>7.5300000000000006E-2</v>
      </c>
      <c r="BH7" s="14">
        <v>7.6600000000000001E-2</v>
      </c>
      <c r="BI7" s="14">
        <v>7.7899999999999997E-2</v>
      </c>
      <c r="BJ7" s="14">
        <v>7.9100000000000004E-2</v>
      </c>
      <c r="BK7" s="14">
        <v>8.0399999999999999E-2</v>
      </c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</row>
    <row r="8" spans="1:89" ht="18" customHeight="1">
      <c r="A8" s="32"/>
      <c r="B8" s="31"/>
      <c r="C8" s="15">
        <v>4</v>
      </c>
      <c r="D8" s="14">
        <v>1.1000000000000001E-3</v>
      </c>
      <c r="E8" s="14">
        <v>2.3E-3</v>
      </c>
      <c r="F8" s="14">
        <v>3.7000000000000002E-3</v>
      </c>
      <c r="G8" s="14">
        <v>5.1000000000000004E-3</v>
      </c>
      <c r="H8" s="14">
        <v>6.6E-3</v>
      </c>
      <c r="I8" s="14">
        <v>8.2000000000000007E-3</v>
      </c>
      <c r="J8" s="14">
        <v>9.9000000000000008E-3</v>
      </c>
      <c r="K8" s="14">
        <v>1.1599999999999999E-2</v>
      </c>
      <c r="L8" s="14">
        <v>1.34E-2</v>
      </c>
      <c r="M8" s="14">
        <v>1.52E-2</v>
      </c>
      <c r="N8" s="14">
        <v>1.7000000000000001E-2</v>
      </c>
      <c r="O8" s="14">
        <v>1.9E-2</v>
      </c>
      <c r="P8" s="14">
        <v>2.0899999999999998E-2</v>
      </c>
      <c r="Q8" s="14">
        <v>2.29E-2</v>
      </c>
      <c r="R8" s="14">
        <v>2.4899999999999999E-2</v>
      </c>
      <c r="S8" s="14">
        <v>2.7E-2</v>
      </c>
      <c r="T8" s="14">
        <v>2.9000000000000001E-2</v>
      </c>
      <c r="U8" s="14">
        <v>3.1099999999999999E-2</v>
      </c>
      <c r="V8" s="14">
        <v>3.32E-2</v>
      </c>
      <c r="W8" s="14">
        <v>3.5400000000000001E-2</v>
      </c>
      <c r="X8" s="14">
        <v>3.7499999999999999E-2</v>
      </c>
      <c r="Y8" s="14">
        <v>3.9699999999999999E-2</v>
      </c>
      <c r="Z8" s="14">
        <v>4.19E-2</v>
      </c>
      <c r="AA8" s="14">
        <v>4.41E-2</v>
      </c>
      <c r="AB8" s="14">
        <v>4.6300000000000001E-2</v>
      </c>
      <c r="AC8" s="14">
        <v>4.8500000000000001E-2</v>
      </c>
      <c r="AD8" s="14">
        <v>5.0700000000000002E-2</v>
      </c>
      <c r="AE8" s="14">
        <v>5.2900000000000003E-2</v>
      </c>
      <c r="AF8" s="14">
        <v>5.5100000000000003E-2</v>
      </c>
      <c r="AG8" s="14">
        <v>5.7299999999999997E-2</v>
      </c>
      <c r="AH8" s="14">
        <v>5.9499999999999997E-2</v>
      </c>
      <c r="AI8" s="14">
        <v>6.1600000000000002E-2</v>
      </c>
      <c r="AJ8" s="14">
        <v>6.3799999999999996E-2</v>
      </c>
      <c r="AK8" s="14">
        <v>6.6000000000000003E-2</v>
      </c>
      <c r="AL8" s="14">
        <v>6.8199999999999997E-2</v>
      </c>
      <c r="AM8" s="14">
        <v>7.0300000000000001E-2</v>
      </c>
      <c r="AN8" s="14">
        <v>7.2499999999999995E-2</v>
      </c>
      <c r="AO8" s="14">
        <v>7.46E-2</v>
      </c>
      <c r="AP8" s="14">
        <v>7.6799999999999993E-2</v>
      </c>
      <c r="AQ8" s="14">
        <v>7.8899999999999998E-2</v>
      </c>
      <c r="AR8" s="14">
        <v>8.1000000000000003E-2</v>
      </c>
      <c r="AS8" s="14">
        <v>8.3099999999999993E-2</v>
      </c>
      <c r="AT8" s="14">
        <v>8.5199999999999998E-2</v>
      </c>
      <c r="AU8" s="14">
        <v>8.7300000000000003E-2</v>
      </c>
      <c r="AV8" s="14">
        <v>8.9300000000000004E-2</v>
      </c>
      <c r="AW8" s="14">
        <v>9.1300000000000006E-2</v>
      </c>
      <c r="AX8" s="14">
        <v>9.3399999999999997E-2</v>
      </c>
      <c r="AY8" s="14">
        <v>9.5399999999999999E-2</v>
      </c>
      <c r="AZ8" s="14">
        <v>9.74E-2</v>
      </c>
      <c r="BA8" s="14">
        <v>9.9299999999999999E-2</v>
      </c>
      <c r="BB8" s="14">
        <v>0.1013</v>
      </c>
      <c r="BC8" s="14">
        <v>0.1032</v>
      </c>
      <c r="BD8" s="14">
        <v>0.1052</v>
      </c>
      <c r="BE8" s="14">
        <v>0.1071</v>
      </c>
      <c r="BF8" s="14">
        <v>0.109</v>
      </c>
      <c r="BG8" s="14">
        <v>0.1109</v>
      </c>
      <c r="BH8" s="14">
        <v>0.11269999999999999</v>
      </c>
      <c r="BI8" s="14">
        <v>0.11459999999999999</v>
      </c>
      <c r="BJ8" s="14">
        <v>0.1164</v>
      </c>
      <c r="BK8" s="14">
        <v>0.1182</v>
      </c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</row>
    <row r="9" spans="1:89" ht="18" customHeight="1">
      <c r="A9" s="32"/>
      <c r="B9" s="31"/>
      <c r="C9" s="15">
        <v>5</v>
      </c>
      <c r="D9" s="14">
        <v>4.7999999999999996E-3</v>
      </c>
      <c r="E9" s="14">
        <v>9.7999999999999997E-3</v>
      </c>
      <c r="F9" s="14">
        <v>1.52E-2</v>
      </c>
      <c r="G9" s="14">
        <v>2.06E-2</v>
      </c>
      <c r="H9" s="14">
        <v>2.6100000000000002E-2</v>
      </c>
      <c r="I9" s="14">
        <v>3.1600000000000003E-2</v>
      </c>
      <c r="J9" s="14">
        <v>3.7199999999999997E-2</v>
      </c>
      <c r="K9" s="14">
        <v>4.2799999999999998E-2</v>
      </c>
      <c r="L9" s="14">
        <v>4.8399999999999999E-2</v>
      </c>
      <c r="M9" s="14">
        <v>5.3999999999999999E-2</v>
      </c>
      <c r="N9" s="14">
        <v>5.96E-2</v>
      </c>
      <c r="O9" s="14">
        <v>6.5199999999999994E-2</v>
      </c>
      <c r="P9" s="14">
        <v>7.0800000000000002E-2</v>
      </c>
      <c r="Q9" s="14">
        <v>7.6300000000000007E-2</v>
      </c>
      <c r="R9" s="14">
        <v>8.1900000000000001E-2</v>
      </c>
      <c r="S9" s="14">
        <v>8.7300000000000003E-2</v>
      </c>
      <c r="T9" s="14">
        <v>9.2700000000000005E-2</v>
      </c>
      <c r="U9" s="14">
        <v>9.8100000000000007E-2</v>
      </c>
      <c r="V9" s="14">
        <v>0.10340000000000001</v>
      </c>
      <c r="W9" s="14">
        <v>0.1087</v>
      </c>
      <c r="X9" s="14">
        <v>0.1139</v>
      </c>
      <c r="Y9" s="14">
        <v>0.1191</v>
      </c>
      <c r="Z9" s="14">
        <v>0.1242</v>
      </c>
      <c r="AA9" s="14">
        <v>0.12920000000000001</v>
      </c>
      <c r="AB9" s="14">
        <v>0.13420000000000001</v>
      </c>
      <c r="AC9" s="14">
        <v>0.1391</v>
      </c>
      <c r="AD9" s="14">
        <v>0.1439</v>
      </c>
      <c r="AE9" s="14">
        <v>0.1487</v>
      </c>
      <c r="AF9" s="14">
        <v>0.15340000000000001</v>
      </c>
      <c r="AG9" s="14">
        <v>0.15809999999999999</v>
      </c>
      <c r="AH9" s="14">
        <v>0.16270000000000001</v>
      </c>
      <c r="AI9" s="14">
        <v>0.16719999999999999</v>
      </c>
      <c r="AJ9" s="14">
        <v>0.17169999999999999</v>
      </c>
      <c r="AK9" s="14">
        <v>0.17610000000000001</v>
      </c>
      <c r="AL9" s="14">
        <v>0.1804</v>
      </c>
      <c r="AM9" s="14">
        <v>0.18459999999999999</v>
      </c>
      <c r="AN9" s="14">
        <v>0.1888</v>
      </c>
      <c r="AO9" s="14">
        <v>0.193</v>
      </c>
      <c r="AP9" s="14">
        <v>0.19700000000000001</v>
      </c>
      <c r="AQ9" s="14">
        <v>0.20100000000000001</v>
      </c>
      <c r="AR9" s="14">
        <v>0.20499999999999999</v>
      </c>
      <c r="AS9" s="14">
        <v>0.2089</v>
      </c>
      <c r="AT9" s="14">
        <v>0.2127</v>
      </c>
      <c r="AU9" s="14">
        <v>0.21640000000000001</v>
      </c>
      <c r="AV9" s="14">
        <v>0.22009999999999999</v>
      </c>
      <c r="AW9" s="14">
        <v>0.2238</v>
      </c>
      <c r="AX9" s="14">
        <v>0.22739999999999999</v>
      </c>
      <c r="AY9" s="14">
        <v>0.23089999999999999</v>
      </c>
      <c r="AZ9" s="14">
        <v>0.23430000000000001</v>
      </c>
      <c r="BA9" s="14">
        <v>0.23780000000000001</v>
      </c>
      <c r="BB9" s="14">
        <v>0.24110000000000001</v>
      </c>
      <c r="BC9" s="14">
        <v>0.24440000000000001</v>
      </c>
      <c r="BD9" s="14">
        <v>0.2477</v>
      </c>
      <c r="BE9" s="14">
        <v>0.25090000000000001</v>
      </c>
      <c r="BF9" s="14">
        <v>0.254</v>
      </c>
      <c r="BG9" s="14">
        <v>0.2571</v>
      </c>
      <c r="BH9" s="14">
        <v>0.26019999999999999</v>
      </c>
      <c r="BI9" s="14">
        <v>0.26319999999999999</v>
      </c>
      <c r="BJ9" s="14">
        <v>0.2661</v>
      </c>
      <c r="BK9" s="14">
        <v>0.26900000000000002</v>
      </c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</row>
    <row r="10" spans="1:89" ht="18" customHeight="1">
      <c r="A10" s="32"/>
      <c r="B10" s="31"/>
      <c r="C10" s="15">
        <v>6</v>
      </c>
      <c r="D10" s="14">
        <v>8.9999999999999993E-3</v>
      </c>
      <c r="E10" s="14">
        <v>1.83E-2</v>
      </c>
      <c r="F10" s="14">
        <v>2.7699999999999999E-2</v>
      </c>
      <c r="G10" s="14">
        <v>3.7199999999999997E-2</v>
      </c>
      <c r="H10" s="14">
        <v>4.6800000000000001E-2</v>
      </c>
      <c r="I10" s="14">
        <v>5.6500000000000002E-2</v>
      </c>
      <c r="J10" s="14">
        <v>6.6100000000000006E-2</v>
      </c>
      <c r="K10" s="14">
        <v>7.5800000000000006E-2</v>
      </c>
      <c r="L10" s="14">
        <v>8.5400000000000004E-2</v>
      </c>
      <c r="M10" s="14">
        <v>9.4899999999999998E-2</v>
      </c>
      <c r="N10" s="14">
        <v>0.1045</v>
      </c>
      <c r="O10" s="14">
        <v>0.1139</v>
      </c>
      <c r="P10" s="14">
        <v>0.12330000000000001</v>
      </c>
      <c r="Q10" s="14">
        <v>0.1326</v>
      </c>
      <c r="R10" s="14">
        <v>0.14180000000000001</v>
      </c>
      <c r="S10" s="14">
        <v>0.15090000000000001</v>
      </c>
      <c r="T10" s="14">
        <v>0.15989999999999999</v>
      </c>
      <c r="U10" s="14">
        <v>0.16880000000000001</v>
      </c>
      <c r="V10" s="14">
        <v>0.17749999999999999</v>
      </c>
      <c r="W10" s="14">
        <v>0.18609999999999999</v>
      </c>
      <c r="X10" s="14">
        <v>0.1946</v>
      </c>
      <c r="Y10" s="14">
        <v>0.20300000000000001</v>
      </c>
      <c r="Z10" s="14">
        <v>0.2112</v>
      </c>
      <c r="AA10" s="14">
        <v>0.21929999999999999</v>
      </c>
      <c r="AB10" s="14">
        <v>0.2273</v>
      </c>
      <c r="AC10" s="14">
        <v>0.2351</v>
      </c>
      <c r="AD10" s="14">
        <v>0.24279999999999999</v>
      </c>
      <c r="AE10" s="14">
        <v>0.25030000000000002</v>
      </c>
      <c r="AF10" s="14">
        <v>0.25769999999999998</v>
      </c>
      <c r="AG10" s="14">
        <v>0.26500000000000001</v>
      </c>
      <c r="AH10" s="14">
        <v>0.27210000000000001</v>
      </c>
      <c r="AI10" s="14">
        <v>0.27910000000000001</v>
      </c>
      <c r="AJ10" s="14">
        <v>0.28589999999999999</v>
      </c>
      <c r="AK10" s="14">
        <v>0.29260000000000003</v>
      </c>
      <c r="AL10" s="14">
        <v>0.29920000000000002</v>
      </c>
      <c r="AM10" s="14">
        <v>0.30559999999999998</v>
      </c>
      <c r="AN10" s="14">
        <v>0.31190000000000001</v>
      </c>
      <c r="AO10" s="14">
        <v>0.31809999999999999</v>
      </c>
      <c r="AP10" s="14">
        <v>0.32419999999999999</v>
      </c>
      <c r="AQ10" s="14">
        <v>0.3301</v>
      </c>
      <c r="AR10" s="14">
        <v>0.33589999999999998</v>
      </c>
      <c r="AS10" s="14">
        <v>0.34150000000000003</v>
      </c>
      <c r="AT10" s="14">
        <v>0.34710000000000002</v>
      </c>
      <c r="AU10" s="14">
        <v>0.35249999999999998</v>
      </c>
      <c r="AV10" s="14">
        <v>0.35780000000000001</v>
      </c>
      <c r="AW10" s="14">
        <v>0.36299999999999999</v>
      </c>
      <c r="AX10" s="14">
        <v>0.36809999999999998</v>
      </c>
      <c r="AY10" s="14">
        <v>0.37309999999999999</v>
      </c>
      <c r="AZ10" s="14">
        <v>0.378</v>
      </c>
      <c r="BA10" s="14">
        <v>0.38269999999999998</v>
      </c>
      <c r="BB10" s="14">
        <v>0.38740000000000002</v>
      </c>
      <c r="BC10" s="14">
        <v>0.39200000000000002</v>
      </c>
      <c r="BD10" s="14">
        <v>0.39639999999999997</v>
      </c>
      <c r="BE10" s="14">
        <v>0.40079999999999999</v>
      </c>
      <c r="BF10" s="14">
        <v>0.40500000000000003</v>
      </c>
      <c r="BG10" s="14">
        <v>0.40920000000000001</v>
      </c>
      <c r="BH10" s="14">
        <v>0.4133</v>
      </c>
      <c r="BI10" s="14">
        <v>0.4173</v>
      </c>
      <c r="BJ10" s="14">
        <v>0.42120000000000002</v>
      </c>
      <c r="BK10" s="14">
        <v>0.42499999999999999</v>
      </c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</row>
    <row r="11" spans="1:89" ht="18" customHeight="1">
      <c r="A11" s="32"/>
      <c r="B11" s="31"/>
      <c r="C11" s="15">
        <v>7</v>
      </c>
      <c r="D11" s="14">
        <v>2.86E-2</v>
      </c>
      <c r="E11" s="14">
        <v>6.0999999999999999E-2</v>
      </c>
      <c r="F11" s="14">
        <v>8.6699999999999999E-2</v>
      </c>
      <c r="G11" s="14">
        <v>0.1071</v>
      </c>
      <c r="H11" s="14">
        <v>0.1241</v>
      </c>
      <c r="I11" s="14">
        <v>0.13900000000000001</v>
      </c>
      <c r="J11" s="14">
        <v>0.15260000000000001</v>
      </c>
      <c r="K11" s="14">
        <v>0.1651</v>
      </c>
      <c r="L11" s="14">
        <v>0.1769</v>
      </c>
      <c r="M11" s="14">
        <v>0.18809999999999999</v>
      </c>
      <c r="N11" s="14">
        <v>0.19889999999999999</v>
      </c>
      <c r="O11" s="14">
        <v>0.2092</v>
      </c>
      <c r="P11" s="14">
        <v>0.21920000000000001</v>
      </c>
      <c r="Q11" s="14">
        <v>0.2288</v>
      </c>
      <c r="R11" s="14">
        <v>0.23810000000000001</v>
      </c>
      <c r="S11" s="14">
        <v>0.2472</v>
      </c>
      <c r="T11" s="14">
        <v>0.25600000000000001</v>
      </c>
      <c r="U11" s="14">
        <v>0.2646</v>
      </c>
      <c r="V11" s="14">
        <v>0.27289999999999998</v>
      </c>
      <c r="W11" s="14">
        <v>0.28100000000000003</v>
      </c>
      <c r="X11" s="14">
        <v>0.28899999999999998</v>
      </c>
      <c r="Y11" s="14">
        <v>0.29670000000000002</v>
      </c>
      <c r="Z11" s="14">
        <v>0.30430000000000001</v>
      </c>
      <c r="AA11" s="14">
        <v>0.31159999999999999</v>
      </c>
      <c r="AB11" s="14">
        <v>0.31890000000000002</v>
      </c>
      <c r="AC11" s="14">
        <v>0.32590000000000002</v>
      </c>
      <c r="AD11" s="14">
        <v>0.33289999999999997</v>
      </c>
      <c r="AE11" s="14">
        <v>0.33960000000000001</v>
      </c>
      <c r="AF11" s="14">
        <v>0.34620000000000001</v>
      </c>
      <c r="AG11" s="14">
        <v>0.35270000000000001</v>
      </c>
      <c r="AH11" s="14">
        <v>0.35909999999999997</v>
      </c>
      <c r="AI11" s="14">
        <v>0.36530000000000001</v>
      </c>
      <c r="AJ11" s="14">
        <v>0.37140000000000001</v>
      </c>
      <c r="AK11" s="14">
        <v>0.37740000000000001</v>
      </c>
      <c r="AL11" s="14">
        <v>0.38329999999999997</v>
      </c>
      <c r="AM11" s="14">
        <v>0.38900000000000001</v>
      </c>
      <c r="AN11" s="14">
        <v>0.3947</v>
      </c>
      <c r="AO11" s="14">
        <v>0.4002</v>
      </c>
      <c r="AP11" s="14">
        <v>0.40570000000000001</v>
      </c>
      <c r="AQ11" s="14">
        <v>0.41099999999999998</v>
      </c>
      <c r="AR11" s="14">
        <v>0.41620000000000001</v>
      </c>
      <c r="AS11" s="14">
        <v>0.4214</v>
      </c>
      <c r="AT11" s="14">
        <v>0.4264</v>
      </c>
      <c r="AU11" s="14">
        <v>0.43140000000000001</v>
      </c>
      <c r="AV11" s="14">
        <v>0.43619999999999998</v>
      </c>
      <c r="AW11" s="14">
        <v>0.441</v>
      </c>
      <c r="AX11" s="14">
        <v>0.44569999999999999</v>
      </c>
      <c r="AY11" s="14">
        <v>0.45029999999999998</v>
      </c>
      <c r="AZ11" s="14">
        <v>0.45479999999999998</v>
      </c>
      <c r="BA11" s="14">
        <v>0.45929999999999999</v>
      </c>
      <c r="BB11" s="14">
        <v>0.4637</v>
      </c>
      <c r="BC11" s="14">
        <v>0.46800000000000003</v>
      </c>
      <c r="BD11" s="14">
        <v>0.47220000000000001</v>
      </c>
      <c r="BE11" s="14">
        <v>0.4763</v>
      </c>
      <c r="BF11" s="14">
        <v>0.48039999999999999</v>
      </c>
      <c r="BG11" s="14">
        <v>0.4844</v>
      </c>
      <c r="BH11" s="14">
        <v>0.4884</v>
      </c>
      <c r="BI11" s="14">
        <v>0.49220000000000003</v>
      </c>
      <c r="BJ11" s="14">
        <v>0.49609999999999999</v>
      </c>
      <c r="BK11" s="14">
        <v>0.49980000000000002</v>
      </c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</row>
    <row r="12" spans="1:89" ht="18" customHeight="1">
      <c r="A12" s="32"/>
      <c r="B12" s="31"/>
      <c r="C12" s="15">
        <v>8</v>
      </c>
      <c r="D12" s="14">
        <v>3.3799999999999997E-2</v>
      </c>
      <c r="E12" s="14">
        <v>6.6199999999999995E-2</v>
      </c>
      <c r="F12" s="14">
        <v>9.7000000000000003E-2</v>
      </c>
      <c r="G12" s="14">
        <v>0.1265</v>
      </c>
      <c r="H12" s="14">
        <v>0.15459999999999999</v>
      </c>
      <c r="I12" s="14">
        <v>0.18149999999999999</v>
      </c>
      <c r="J12" s="14">
        <v>0.20710000000000001</v>
      </c>
      <c r="K12" s="14">
        <v>0.23150000000000001</v>
      </c>
      <c r="L12" s="14">
        <v>0.25490000000000002</v>
      </c>
      <c r="M12" s="14">
        <v>0.2772</v>
      </c>
      <c r="N12" s="14">
        <v>0.29859999999999998</v>
      </c>
      <c r="O12" s="14">
        <v>0.31900000000000001</v>
      </c>
      <c r="P12" s="14">
        <v>0.33850000000000002</v>
      </c>
      <c r="Q12" s="14">
        <v>0.35709999999999997</v>
      </c>
      <c r="R12" s="14">
        <v>0.375</v>
      </c>
      <c r="S12" s="14">
        <v>0.3921</v>
      </c>
      <c r="T12" s="14">
        <v>0.40839999999999999</v>
      </c>
      <c r="U12" s="14">
        <v>0.42409999999999998</v>
      </c>
      <c r="V12" s="14">
        <v>0.439</v>
      </c>
      <c r="W12" s="14">
        <v>0.45340000000000003</v>
      </c>
      <c r="X12" s="14">
        <v>0.4672</v>
      </c>
      <c r="Y12" s="14">
        <v>0.4803</v>
      </c>
      <c r="Z12" s="14">
        <v>0.49299999999999999</v>
      </c>
      <c r="AA12" s="14">
        <v>0.50509999999999999</v>
      </c>
      <c r="AB12" s="14">
        <v>0.51670000000000005</v>
      </c>
      <c r="AC12" s="14">
        <v>0.52790000000000004</v>
      </c>
      <c r="AD12" s="14">
        <v>0.53859999999999997</v>
      </c>
      <c r="AE12" s="14">
        <v>0.54890000000000005</v>
      </c>
      <c r="AF12" s="14">
        <v>0.55879999999999996</v>
      </c>
      <c r="AG12" s="14">
        <v>0.56820000000000004</v>
      </c>
      <c r="AH12" s="14">
        <v>0.57730000000000004</v>
      </c>
      <c r="AI12" s="14">
        <v>0.58609999999999995</v>
      </c>
      <c r="AJ12" s="14">
        <v>0.59450000000000003</v>
      </c>
      <c r="AK12" s="14">
        <v>0.60260000000000002</v>
      </c>
      <c r="AL12" s="14">
        <v>0.61040000000000005</v>
      </c>
      <c r="AM12" s="14">
        <v>0.6179</v>
      </c>
      <c r="AN12" s="14">
        <v>0.62509999999999999</v>
      </c>
      <c r="AO12" s="14">
        <v>0.63200000000000001</v>
      </c>
      <c r="AP12" s="14">
        <v>0.63870000000000005</v>
      </c>
      <c r="AQ12" s="14">
        <v>0.64510000000000001</v>
      </c>
      <c r="AR12" s="14">
        <v>0.65129999999999999</v>
      </c>
      <c r="AS12" s="14">
        <v>0.6573</v>
      </c>
      <c r="AT12" s="14">
        <v>0.66300000000000003</v>
      </c>
      <c r="AU12" s="14">
        <v>0.66849999999999998</v>
      </c>
      <c r="AV12" s="14">
        <v>0.67390000000000005</v>
      </c>
      <c r="AW12" s="14">
        <v>0.67900000000000005</v>
      </c>
      <c r="AX12" s="14">
        <v>0.68400000000000005</v>
      </c>
      <c r="AY12" s="14">
        <v>0.68879999999999997</v>
      </c>
      <c r="AZ12" s="14">
        <v>0.69350000000000001</v>
      </c>
      <c r="BA12" s="14">
        <v>0.69789999999999996</v>
      </c>
      <c r="BB12" s="14">
        <v>0.70230000000000004</v>
      </c>
      <c r="BC12" s="14">
        <v>0.70640000000000003</v>
      </c>
      <c r="BD12" s="14">
        <v>0.71050000000000002</v>
      </c>
      <c r="BE12" s="14">
        <v>0.71440000000000003</v>
      </c>
      <c r="BF12" s="14">
        <v>0.71809999999999996</v>
      </c>
      <c r="BG12" s="14">
        <v>0.7218</v>
      </c>
      <c r="BH12" s="14">
        <v>0.72529999999999994</v>
      </c>
      <c r="BI12" s="14">
        <v>0.72870000000000001</v>
      </c>
      <c r="BJ12" s="14">
        <v>0.73199999999999998</v>
      </c>
      <c r="BK12" s="14">
        <v>0.73519999999999996</v>
      </c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</row>
    <row r="13" spans="1:89" ht="18" customHeight="1">
      <c r="A13" s="32"/>
      <c r="B13" s="31"/>
      <c r="C13" s="4" t="s">
        <v>85</v>
      </c>
      <c r="D13" s="14">
        <v>1</v>
      </c>
      <c r="E13" s="14">
        <v>1</v>
      </c>
      <c r="F13" s="14">
        <v>1</v>
      </c>
      <c r="G13" s="14">
        <v>1</v>
      </c>
      <c r="H13" s="14">
        <v>1</v>
      </c>
      <c r="I13" s="14">
        <v>1</v>
      </c>
      <c r="J13" s="14">
        <v>1</v>
      </c>
      <c r="K13" s="14">
        <v>1</v>
      </c>
      <c r="L13" s="14">
        <v>1</v>
      </c>
      <c r="M13" s="14">
        <v>1</v>
      </c>
      <c r="N13" s="14">
        <v>1</v>
      </c>
      <c r="O13" s="14">
        <v>1</v>
      </c>
      <c r="P13" s="14">
        <v>1</v>
      </c>
      <c r="Q13" s="14">
        <v>1</v>
      </c>
      <c r="R13" s="14">
        <v>1</v>
      </c>
      <c r="S13" s="14">
        <v>1</v>
      </c>
      <c r="T13" s="14">
        <v>1</v>
      </c>
      <c r="U13" s="14">
        <v>1</v>
      </c>
      <c r="V13" s="14">
        <v>1</v>
      </c>
      <c r="W13" s="14">
        <v>1</v>
      </c>
      <c r="X13" s="14">
        <v>1</v>
      </c>
      <c r="Y13" s="14">
        <v>1</v>
      </c>
      <c r="Z13" s="14">
        <v>1</v>
      </c>
      <c r="AA13" s="14">
        <v>1</v>
      </c>
      <c r="AB13" s="14">
        <v>1</v>
      </c>
      <c r="AC13" s="14">
        <v>1</v>
      </c>
      <c r="AD13" s="14">
        <v>1</v>
      </c>
      <c r="AE13" s="14">
        <v>1</v>
      </c>
      <c r="AF13" s="14">
        <v>1</v>
      </c>
      <c r="AG13" s="14">
        <v>1</v>
      </c>
      <c r="AH13" s="14">
        <v>1</v>
      </c>
      <c r="AI13" s="14">
        <v>1</v>
      </c>
      <c r="AJ13" s="14">
        <v>1</v>
      </c>
      <c r="AK13" s="14">
        <v>1</v>
      </c>
      <c r="AL13" s="14">
        <v>1</v>
      </c>
      <c r="AM13" s="14">
        <v>1</v>
      </c>
      <c r="AN13" s="14">
        <v>1</v>
      </c>
      <c r="AO13" s="14">
        <v>1</v>
      </c>
      <c r="AP13" s="14">
        <v>1</v>
      </c>
      <c r="AQ13" s="14">
        <v>1</v>
      </c>
      <c r="AR13" s="14">
        <v>1</v>
      </c>
      <c r="AS13" s="14">
        <v>1</v>
      </c>
      <c r="AT13" s="14">
        <v>1</v>
      </c>
      <c r="AU13" s="14">
        <v>1</v>
      </c>
      <c r="AV13" s="14">
        <v>1</v>
      </c>
      <c r="AW13" s="14">
        <v>1</v>
      </c>
      <c r="AX13" s="14">
        <v>1</v>
      </c>
      <c r="AY13" s="14">
        <v>1</v>
      </c>
      <c r="AZ13" s="14">
        <v>1</v>
      </c>
      <c r="BA13" s="14">
        <v>1</v>
      </c>
      <c r="BB13" s="14">
        <v>1</v>
      </c>
      <c r="BC13" s="14">
        <v>1</v>
      </c>
      <c r="BD13" s="14">
        <v>1</v>
      </c>
      <c r="BE13" s="14">
        <v>1</v>
      </c>
      <c r="BF13" s="14">
        <v>1</v>
      </c>
      <c r="BG13" s="14">
        <v>1</v>
      </c>
      <c r="BH13" s="14">
        <v>1</v>
      </c>
      <c r="BI13" s="14">
        <v>1</v>
      </c>
      <c r="BJ13" s="14">
        <v>1</v>
      </c>
      <c r="BK13" s="14">
        <v>1</v>
      </c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</row>
    <row r="14" spans="1:89" ht="18" customHeight="1">
      <c r="A14" s="32"/>
      <c r="B14" s="31"/>
      <c r="C14" s="24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</row>
    <row r="15" spans="1:89" ht="18" customHeight="1">
      <c r="A15" s="32"/>
      <c r="B15" s="31"/>
      <c r="C15" s="13"/>
      <c r="D15" s="23" t="s">
        <v>86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</row>
    <row r="16" spans="1:89" ht="18" customHeight="1">
      <c r="A16" s="32"/>
      <c r="B16" s="31"/>
      <c r="C16" s="5" t="s">
        <v>84</v>
      </c>
      <c r="D16" s="5">
        <f>D4</f>
        <v>1</v>
      </c>
      <c r="E16" s="5">
        <f t="shared" ref="E16:BK16" si="0">E4</f>
        <v>2</v>
      </c>
      <c r="F16" s="5">
        <f t="shared" si="0"/>
        <v>3</v>
      </c>
      <c r="G16" s="5">
        <f t="shared" si="0"/>
        <v>4</v>
      </c>
      <c r="H16" s="5">
        <f t="shared" si="0"/>
        <v>5</v>
      </c>
      <c r="I16" s="5">
        <f t="shared" si="0"/>
        <v>6</v>
      </c>
      <c r="J16" s="5">
        <f t="shared" si="0"/>
        <v>7</v>
      </c>
      <c r="K16" s="5">
        <f t="shared" si="0"/>
        <v>8</v>
      </c>
      <c r="L16" s="5">
        <f t="shared" si="0"/>
        <v>9</v>
      </c>
      <c r="M16" s="5">
        <f t="shared" si="0"/>
        <v>10</v>
      </c>
      <c r="N16" s="5">
        <f t="shared" si="0"/>
        <v>11</v>
      </c>
      <c r="O16" s="5">
        <f t="shared" si="0"/>
        <v>12</v>
      </c>
      <c r="P16" s="5">
        <f t="shared" si="0"/>
        <v>13</v>
      </c>
      <c r="Q16" s="5">
        <f t="shared" si="0"/>
        <v>14</v>
      </c>
      <c r="R16" s="5">
        <f t="shared" si="0"/>
        <v>15</v>
      </c>
      <c r="S16" s="5">
        <f t="shared" si="0"/>
        <v>16</v>
      </c>
      <c r="T16" s="5">
        <f t="shared" si="0"/>
        <v>17</v>
      </c>
      <c r="U16" s="5">
        <f t="shared" si="0"/>
        <v>18</v>
      </c>
      <c r="V16" s="5">
        <f t="shared" si="0"/>
        <v>19</v>
      </c>
      <c r="W16" s="5">
        <f t="shared" si="0"/>
        <v>20</v>
      </c>
      <c r="X16" s="5">
        <f t="shared" si="0"/>
        <v>21</v>
      </c>
      <c r="Y16" s="5">
        <f t="shared" si="0"/>
        <v>22</v>
      </c>
      <c r="Z16" s="5">
        <f t="shared" si="0"/>
        <v>23</v>
      </c>
      <c r="AA16" s="5">
        <f t="shared" si="0"/>
        <v>24</v>
      </c>
      <c r="AB16" s="5">
        <f t="shared" si="0"/>
        <v>25</v>
      </c>
      <c r="AC16" s="5">
        <f t="shared" si="0"/>
        <v>26</v>
      </c>
      <c r="AD16" s="5">
        <f t="shared" si="0"/>
        <v>27</v>
      </c>
      <c r="AE16" s="5">
        <f t="shared" si="0"/>
        <v>28</v>
      </c>
      <c r="AF16" s="5">
        <f t="shared" si="0"/>
        <v>29</v>
      </c>
      <c r="AG16" s="5">
        <f t="shared" si="0"/>
        <v>30</v>
      </c>
      <c r="AH16" s="5">
        <f t="shared" si="0"/>
        <v>31</v>
      </c>
      <c r="AI16" s="5">
        <f t="shared" si="0"/>
        <v>32</v>
      </c>
      <c r="AJ16" s="5">
        <f t="shared" si="0"/>
        <v>33</v>
      </c>
      <c r="AK16" s="5">
        <f t="shared" si="0"/>
        <v>34</v>
      </c>
      <c r="AL16" s="5">
        <f t="shared" si="0"/>
        <v>35</v>
      </c>
      <c r="AM16" s="5">
        <f t="shared" si="0"/>
        <v>36</v>
      </c>
      <c r="AN16" s="5">
        <f t="shared" si="0"/>
        <v>37</v>
      </c>
      <c r="AO16" s="5">
        <f t="shared" si="0"/>
        <v>38</v>
      </c>
      <c r="AP16" s="5">
        <f t="shared" si="0"/>
        <v>39</v>
      </c>
      <c r="AQ16" s="5">
        <f t="shared" si="0"/>
        <v>40</v>
      </c>
      <c r="AR16" s="5">
        <f t="shared" si="0"/>
        <v>41</v>
      </c>
      <c r="AS16" s="5">
        <f t="shared" si="0"/>
        <v>42</v>
      </c>
      <c r="AT16" s="5">
        <f t="shared" si="0"/>
        <v>43</v>
      </c>
      <c r="AU16" s="5">
        <f t="shared" si="0"/>
        <v>44</v>
      </c>
      <c r="AV16" s="5">
        <f t="shared" si="0"/>
        <v>45</v>
      </c>
      <c r="AW16" s="5">
        <f t="shared" si="0"/>
        <v>46</v>
      </c>
      <c r="AX16" s="5">
        <f t="shared" si="0"/>
        <v>47</v>
      </c>
      <c r="AY16" s="5">
        <f t="shared" si="0"/>
        <v>48</v>
      </c>
      <c r="AZ16" s="5">
        <f t="shared" si="0"/>
        <v>49</v>
      </c>
      <c r="BA16" s="5">
        <f t="shared" si="0"/>
        <v>50</v>
      </c>
      <c r="BB16" s="5">
        <f t="shared" si="0"/>
        <v>51</v>
      </c>
      <c r="BC16" s="5">
        <f t="shared" si="0"/>
        <v>52</v>
      </c>
      <c r="BD16" s="5">
        <f t="shared" si="0"/>
        <v>53</v>
      </c>
      <c r="BE16" s="5">
        <f t="shared" si="0"/>
        <v>54</v>
      </c>
      <c r="BF16" s="5">
        <f t="shared" si="0"/>
        <v>55</v>
      </c>
      <c r="BG16" s="5">
        <f t="shared" si="0"/>
        <v>56</v>
      </c>
      <c r="BH16" s="5">
        <f t="shared" si="0"/>
        <v>57</v>
      </c>
      <c r="BI16" s="5">
        <f t="shared" si="0"/>
        <v>58</v>
      </c>
      <c r="BJ16" s="5">
        <f t="shared" si="0"/>
        <v>59</v>
      </c>
      <c r="BK16" s="5">
        <f t="shared" si="0"/>
        <v>60</v>
      </c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</row>
    <row r="17" spans="2:89" ht="18" customHeight="1">
      <c r="B17" s="32"/>
      <c r="C17" s="15">
        <v>1</v>
      </c>
      <c r="D17" s="14">
        <v>1E-4</v>
      </c>
      <c r="E17" s="14">
        <v>1E-4</v>
      </c>
      <c r="F17" s="14">
        <v>1E-4</v>
      </c>
      <c r="G17" s="14">
        <v>1E-4</v>
      </c>
      <c r="H17" s="14">
        <v>1E-4</v>
      </c>
      <c r="I17" s="14">
        <v>1E-4</v>
      </c>
      <c r="J17" s="14">
        <v>1E-4</v>
      </c>
      <c r="K17" s="14">
        <v>2.0000000000000001E-4</v>
      </c>
      <c r="L17" s="14">
        <v>2.0000000000000001E-4</v>
      </c>
      <c r="M17" s="14">
        <v>2.0000000000000001E-4</v>
      </c>
      <c r="N17" s="14">
        <v>2.0000000000000001E-4</v>
      </c>
      <c r="O17" s="14">
        <v>2.0000000000000001E-4</v>
      </c>
      <c r="P17" s="14">
        <v>2.0000000000000001E-4</v>
      </c>
      <c r="Q17" s="14">
        <v>2.0000000000000001E-4</v>
      </c>
      <c r="R17" s="14">
        <v>2.0000000000000001E-4</v>
      </c>
      <c r="S17" s="14">
        <v>2.0000000000000001E-4</v>
      </c>
      <c r="T17" s="14">
        <v>2.9999999999999997E-4</v>
      </c>
      <c r="U17" s="14">
        <v>2.9999999999999997E-4</v>
      </c>
      <c r="V17" s="14">
        <v>2.9999999999999997E-4</v>
      </c>
      <c r="W17" s="14">
        <v>2.9999999999999997E-4</v>
      </c>
      <c r="X17" s="14">
        <v>2.9999999999999997E-4</v>
      </c>
      <c r="Y17" s="14">
        <v>2.9999999999999997E-4</v>
      </c>
      <c r="Z17" s="14">
        <v>2.9999999999999997E-4</v>
      </c>
      <c r="AA17" s="14">
        <v>2.9999999999999997E-4</v>
      </c>
      <c r="AB17" s="14">
        <v>2.9999999999999997E-4</v>
      </c>
      <c r="AC17" s="14">
        <v>2.9999999999999997E-4</v>
      </c>
      <c r="AD17" s="14">
        <v>4.0000000000000002E-4</v>
      </c>
      <c r="AE17" s="14">
        <v>4.0000000000000002E-4</v>
      </c>
      <c r="AF17" s="14">
        <v>4.0000000000000002E-4</v>
      </c>
      <c r="AG17" s="14">
        <v>4.0000000000000002E-4</v>
      </c>
      <c r="AH17" s="14">
        <v>4.0000000000000002E-4</v>
      </c>
      <c r="AI17" s="14">
        <v>4.0000000000000002E-4</v>
      </c>
      <c r="AJ17" s="14">
        <v>4.0000000000000002E-4</v>
      </c>
      <c r="AK17" s="14">
        <v>4.0000000000000002E-4</v>
      </c>
      <c r="AL17" s="14">
        <v>4.0000000000000002E-4</v>
      </c>
      <c r="AM17" s="14">
        <v>4.0000000000000002E-4</v>
      </c>
      <c r="AN17" s="14">
        <v>4.0000000000000002E-4</v>
      </c>
      <c r="AO17" s="14">
        <v>5.0000000000000001E-4</v>
      </c>
      <c r="AP17" s="14">
        <v>5.0000000000000001E-4</v>
      </c>
      <c r="AQ17" s="14">
        <v>5.0000000000000001E-4</v>
      </c>
      <c r="AR17" s="14">
        <v>5.0000000000000001E-4</v>
      </c>
      <c r="AS17" s="14">
        <v>5.0000000000000001E-4</v>
      </c>
      <c r="AT17" s="14">
        <v>5.0000000000000001E-4</v>
      </c>
      <c r="AU17" s="14">
        <v>5.0000000000000001E-4</v>
      </c>
      <c r="AV17" s="14">
        <v>5.0000000000000001E-4</v>
      </c>
      <c r="AW17" s="14">
        <v>5.0000000000000001E-4</v>
      </c>
      <c r="AX17" s="14">
        <v>5.0000000000000001E-4</v>
      </c>
      <c r="AY17" s="14">
        <v>5.0000000000000001E-4</v>
      </c>
      <c r="AZ17" s="14">
        <v>5.0000000000000001E-4</v>
      </c>
      <c r="BA17" s="14">
        <v>5.0000000000000001E-4</v>
      </c>
      <c r="BB17" s="14">
        <v>5.0000000000000001E-4</v>
      </c>
      <c r="BC17" s="14">
        <v>5.9999999999999995E-4</v>
      </c>
      <c r="BD17" s="14">
        <v>5.9999999999999995E-4</v>
      </c>
      <c r="BE17" s="14">
        <v>5.9999999999999995E-4</v>
      </c>
      <c r="BF17" s="14">
        <v>5.9999999999999995E-4</v>
      </c>
      <c r="BG17" s="14">
        <v>5.9999999999999995E-4</v>
      </c>
      <c r="BH17" s="14">
        <v>5.9999999999999995E-4</v>
      </c>
      <c r="BI17" s="14">
        <v>5.9999999999999995E-4</v>
      </c>
      <c r="BJ17" s="14">
        <v>5.9999999999999995E-4</v>
      </c>
      <c r="BK17" s="14">
        <v>5.9999999999999995E-4</v>
      </c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</row>
    <row r="18" spans="2:89" ht="18" customHeight="1">
      <c r="B18" s="31"/>
      <c r="C18" s="15">
        <v>2</v>
      </c>
      <c r="D18" s="14">
        <v>1E-4</v>
      </c>
      <c r="E18" s="14">
        <v>2.9999999999999997E-4</v>
      </c>
      <c r="F18" s="14">
        <v>4.0000000000000002E-4</v>
      </c>
      <c r="G18" s="14">
        <v>4.0000000000000002E-4</v>
      </c>
      <c r="H18" s="14">
        <v>4.0000000000000002E-4</v>
      </c>
      <c r="I18" s="14">
        <v>5.0000000000000001E-4</v>
      </c>
      <c r="J18" s="14">
        <v>5.0000000000000001E-4</v>
      </c>
      <c r="K18" s="14">
        <v>5.0000000000000001E-4</v>
      </c>
      <c r="L18" s="14">
        <v>5.9999999999999995E-4</v>
      </c>
      <c r="M18" s="14">
        <v>5.9999999999999995E-4</v>
      </c>
      <c r="N18" s="14">
        <v>5.9999999999999995E-4</v>
      </c>
      <c r="O18" s="14">
        <v>6.9999999999999999E-4</v>
      </c>
      <c r="P18" s="14">
        <v>6.9999999999999999E-4</v>
      </c>
      <c r="Q18" s="14">
        <v>6.9999999999999999E-4</v>
      </c>
      <c r="R18" s="14">
        <v>6.9999999999999999E-4</v>
      </c>
      <c r="S18" s="14">
        <v>8.0000000000000004E-4</v>
      </c>
      <c r="T18" s="14">
        <v>8.0000000000000004E-4</v>
      </c>
      <c r="U18" s="14">
        <v>8.0000000000000004E-4</v>
      </c>
      <c r="V18" s="14">
        <v>8.0000000000000004E-4</v>
      </c>
      <c r="W18" s="14">
        <v>8.0000000000000004E-4</v>
      </c>
      <c r="X18" s="14">
        <v>8.9999999999999998E-4</v>
      </c>
      <c r="Y18" s="14">
        <v>8.9999999999999998E-4</v>
      </c>
      <c r="Z18" s="14">
        <v>8.9999999999999998E-4</v>
      </c>
      <c r="AA18" s="14">
        <v>8.9999999999999998E-4</v>
      </c>
      <c r="AB18" s="14">
        <v>8.9999999999999998E-4</v>
      </c>
      <c r="AC18" s="14">
        <v>1E-3</v>
      </c>
      <c r="AD18" s="14">
        <v>1E-3</v>
      </c>
      <c r="AE18" s="14">
        <v>1E-3</v>
      </c>
      <c r="AF18" s="14">
        <v>1E-3</v>
      </c>
      <c r="AG18" s="14">
        <v>1E-3</v>
      </c>
      <c r="AH18" s="14">
        <v>1E-3</v>
      </c>
      <c r="AI18" s="14">
        <v>1E-3</v>
      </c>
      <c r="AJ18" s="14">
        <v>1E-3</v>
      </c>
      <c r="AK18" s="14">
        <v>1.1000000000000001E-3</v>
      </c>
      <c r="AL18" s="14">
        <v>1.1000000000000001E-3</v>
      </c>
      <c r="AM18" s="14">
        <v>1.1000000000000001E-3</v>
      </c>
      <c r="AN18" s="14">
        <v>1.1000000000000001E-3</v>
      </c>
      <c r="AO18" s="14">
        <v>1.1000000000000001E-3</v>
      </c>
      <c r="AP18" s="14">
        <v>1.1000000000000001E-3</v>
      </c>
      <c r="AQ18" s="14">
        <v>1.1000000000000001E-3</v>
      </c>
      <c r="AR18" s="14">
        <v>1.1000000000000001E-3</v>
      </c>
      <c r="AS18" s="14">
        <v>1.1000000000000001E-3</v>
      </c>
      <c r="AT18" s="14">
        <v>1.1000000000000001E-3</v>
      </c>
      <c r="AU18" s="14">
        <v>1.1000000000000001E-3</v>
      </c>
      <c r="AV18" s="14">
        <v>1.1000000000000001E-3</v>
      </c>
      <c r="AW18" s="14">
        <v>1.1000000000000001E-3</v>
      </c>
      <c r="AX18" s="14">
        <v>1.1000000000000001E-3</v>
      </c>
      <c r="AY18" s="14">
        <v>1.1000000000000001E-3</v>
      </c>
      <c r="AZ18" s="14">
        <v>1.1000000000000001E-3</v>
      </c>
      <c r="BA18" s="14">
        <v>1.1000000000000001E-3</v>
      </c>
      <c r="BB18" s="14">
        <v>1.1000000000000001E-3</v>
      </c>
      <c r="BC18" s="14">
        <v>1.1000000000000001E-3</v>
      </c>
      <c r="BD18" s="14">
        <v>1.1000000000000001E-3</v>
      </c>
      <c r="BE18" s="14">
        <v>1.1000000000000001E-3</v>
      </c>
      <c r="BF18" s="14">
        <v>1.1000000000000001E-3</v>
      </c>
      <c r="BG18" s="14">
        <v>1.1000000000000001E-3</v>
      </c>
      <c r="BH18" s="14">
        <v>1.1000000000000001E-3</v>
      </c>
      <c r="BI18" s="14">
        <v>1.1000000000000001E-3</v>
      </c>
      <c r="BJ18" s="14">
        <v>1.1000000000000001E-3</v>
      </c>
      <c r="BK18" s="14">
        <v>1.1000000000000001E-3</v>
      </c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</row>
    <row r="19" spans="2:89" ht="18" customHeight="1">
      <c r="B19" s="31"/>
      <c r="C19" s="15">
        <v>3</v>
      </c>
      <c r="D19" s="14">
        <v>2.9999999999999997E-4</v>
      </c>
      <c r="E19" s="14">
        <v>5.9999999999999995E-4</v>
      </c>
      <c r="F19" s="14">
        <v>6.9999999999999999E-4</v>
      </c>
      <c r="G19" s="14">
        <v>8.9999999999999998E-4</v>
      </c>
      <c r="H19" s="14">
        <v>1E-3</v>
      </c>
      <c r="I19" s="14">
        <v>1.1000000000000001E-3</v>
      </c>
      <c r="J19" s="14">
        <v>1.1999999999999999E-3</v>
      </c>
      <c r="K19" s="14">
        <v>1.1999999999999999E-3</v>
      </c>
      <c r="L19" s="14">
        <v>1.2999999999999999E-3</v>
      </c>
      <c r="M19" s="14">
        <v>1.2999999999999999E-3</v>
      </c>
      <c r="N19" s="14">
        <v>1.4E-3</v>
      </c>
      <c r="O19" s="14">
        <v>1.4E-3</v>
      </c>
      <c r="P19" s="14">
        <v>1.4E-3</v>
      </c>
      <c r="Q19" s="14">
        <v>1.5E-3</v>
      </c>
      <c r="R19" s="14">
        <v>1.5E-3</v>
      </c>
      <c r="S19" s="14">
        <v>1.5E-3</v>
      </c>
      <c r="T19" s="14">
        <v>1.5E-3</v>
      </c>
      <c r="U19" s="14">
        <v>1.5E-3</v>
      </c>
      <c r="V19" s="14">
        <v>1.5E-3</v>
      </c>
      <c r="W19" s="14">
        <v>1.5E-3</v>
      </c>
      <c r="X19" s="14">
        <v>1.5E-3</v>
      </c>
      <c r="Y19" s="14">
        <v>1.6000000000000001E-3</v>
      </c>
      <c r="Z19" s="14">
        <v>1.6000000000000001E-3</v>
      </c>
      <c r="AA19" s="14">
        <v>1.6000000000000001E-3</v>
      </c>
      <c r="AB19" s="14">
        <v>1.6000000000000001E-3</v>
      </c>
      <c r="AC19" s="14">
        <v>1.6000000000000001E-3</v>
      </c>
      <c r="AD19" s="14">
        <v>1.6000000000000001E-3</v>
      </c>
      <c r="AE19" s="14">
        <v>1.6000000000000001E-3</v>
      </c>
      <c r="AF19" s="14">
        <v>1.5E-3</v>
      </c>
      <c r="AG19" s="14">
        <v>1.5E-3</v>
      </c>
      <c r="AH19" s="14">
        <v>1.5E-3</v>
      </c>
      <c r="AI19" s="14">
        <v>1.5E-3</v>
      </c>
      <c r="AJ19" s="14">
        <v>1.5E-3</v>
      </c>
      <c r="AK19" s="14">
        <v>1.5E-3</v>
      </c>
      <c r="AL19" s="14">
        <v>1.5E-3</v>
      </c>
      <c r="AM19" s="14">
        <v>1.5E-3</v>
      </c>
      <c r="AN19" s="14">
        <v>1.5E-3</v>
      </c>
      <c r="AO19" s="14">
        <v>1.5E-3</v>
      </c>
      <c r="AP19" s="14">
        <v>1.5E-3</v>
      </c>
      <c r="AQ19" s="14">
        <v>1.5E-3</v>
      </c>
      <c r="AR19" s="14">
        <v>1.5E-3</v>
      </c>
      <c r="AS19" s="14">
        <v>1.5E-3</v>
      </c>
      <c r="AT19" s="14">
        <v>1.5E-3</v>
      </c>
      <c r="AU19" s="14">
        <v>1.5E-3</v>
      </c>
      <c r="AV19" s="14">
        <v>1.5E-3</v>
      </c>
      <c r="AW19" s="14">
        <v>1.5E-3</v>
      </c>
      <c r="AX19" s="14">
        <v>1.5E-3</v>
      </c>
      <c r="AY19" s="14">
        <v>1.5E-3</v>
      </c>
      <c r="AZ19" s="14">
        <v>1.4E-3</v>
      </c>
      <c r="BA19" s="14">
        <v>1.4E-3</v>
      </c>
      <c r="BB19" s="14">
        <v>1.4E-3</v>
      </c>
      <c r="BC19" s="14">
        <v>1.4E-3</v>
      </c>
      <c r="BD19" s="14">
        <v>1.4E-3</v>
      </c>
      <c r="BE19" s="14">
        <v>1.4E-3</v>
      </c>
      <c r="BF19" s="14">
        <v>1.4E-3</v>
      </c>
      <c r="BG19" s="14">
        <v>1.4E-3</v>
      </c>
      <c r="BH19" s="14">
        <v>1.4E-3</v>
      </c>
      <c r="BI19" s="14">
        <v>1.4E-3</v>
      </c>
      <c r="BJ19" s="14">
        <v>1.4E-3</v>
      </c>
      <c r="BK19" s="14">
        <v>1.4E-3</v>
      </c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</row>
    <row r="20" spans="2:89" ht="18" customHeight="1">
      <c r="B20" s="31"/>
      <c r="C20" s="15">
        <v>4</v>
      </c>
      <c r="D20" s="14">
        <v>1.1000000000000001E-3</v>
      </c>
      <c r="E20" s="14">
        <v>1.1999999999999999E-3</v>
      </c>
      <c r="F20" s="14">
        <v>1.4E-3</v>
      </c>
      <c r="G20" s="14">
        <v>1.5E-3</v>
      </c>
      <c r="H20" s="14">
        <v>1.5E-3</v>
      </c>
      <c r="I20" s="14">
        <v>1.6000000000000001E-3</v>
      </c>
      <c r="J20" s="14">
        <v>1.6999999999999999E-3</v>
      </c>
      <c r="K20" s="14">
        <v>1.6999999999999999E-3</v>
      </c>
      <c r="L20" s="14">
        <v>1.8E-3</v>
      </c>
      <c r="M20" s="14">
        <v>1.8E-3</v>
      </c>
      <c r="N20" s="14">
        <v>1.9E-3</v>
      </c>
      <c r="O20" s="14">
        <v>1.9E-3</v>
      </c>
      <c r="P20" s="14">
        <v>2E-3</v>
      </c>
      <c r="Q20" s="14">
        <v>2E-3</v>
      </c>
      <c r="R20" s="14">
        <v>2.0999999999999999E-3</v>
      </c>
      <c r="S20" s="14">
        <v>2.0999999999999999E-3</v>
      </c>
      <c r="T20" s="14">
        <v>2.0999999999999999E-3</v>
      </c>
      <c r="U20" s="14">
        <v>2.2000000000000001E-3</v>
      </c>
      <c r="V20" s="14">
        <v>2.2000000000000001E-3</v>
      </c>
      <c r="W20" s="14">
        <v>2.2000000000000001E-3</v>
      </c>
      <c r="X20" s="14">
        <v>2.2000000000000001E-3</v>
      </c>
      <c r="Y20" s="14">
        <v>2.3E-3</v>
      </c>
      <c r="Z20" s="14">
        <v>2.3E-3</v>
      </c>
      <c r="AA20" s="14">
        <v>2.3E-3</v>
      </c>
      <c r="AB20" s="14">
        <v>2.3E-3</v>
      </c>
      <c r="AC20" s="14">
        <v>2.3E-3</v>
      </c>
      <c r="AD20" s="14">
        <v>2.3E-3</v>
      </c>
      <c r="AE20" s="14">
        <v>2.3E-3</v>
      </c>
      <c r="AF20" s="14">
        <v>2.3E-3</v>
      </c>
      <c r="AG20" s="14">
        <v>2.3E-3</v>
      </c>
      <c r="AH20" s="14">
        <v>2.3E-3</v>
      </c>
      <c r="AI20" s="14">
        <v>2.3E-3</v>
      </c>
      <c r="AJ20" s="14">
        <v>2.3E-3</v>
      </c>
      <c r="AK20" s="14">
        <v>2.3E-3</v>
      </c>
      <c r="AL20" s="14">
        <v>2.3E-3</v>
      </c>
      <c r="AM20" s="14">
        <v>2.3E-3</v>
      </c>
      <c r="AN20" s="14">
        <v>2.3E-3</v>
      </c>
      <c r="AO20" s="14">
        <v>2.3E-3</v>
      </c>
      <c r="AP20" s="14">
        <v>2.3E-3</v>
      </c>
      <c r="AQ20" s="14">
        <v>2.3E-3</v>
      </c>
      <c r="AR20" s="14">
        <v>2.3E-3</v>
      </c>
      <c r="AS20" s="14">
        <v>2.3E-3</v>
      </c>
      <c r="AT20" s="14">
        <v>2.3E-3</v>
      </c>
      <c r="AU20" s="14">
        <v>2.3E-3</v>
      </c>
      <c r="AV20" s="14">
        <v>2.2000000000000001E-3</v>
      </c>
      <c r="AW20" s="14">
        <v>2.2000000000000001E-3</v>
      </c>
      <c r="AX20" s="14">
        <v>2.2000000000000001E-3</v>
      </c>
      <c r="AY20" s="14">
        <v>2.2000000000000001E-3</v>
      </c>
      <c r="AZ20" s="14">
        <v>2.2000000000000001E-3</v>
      </c>
      <c r="BA20" s="14">
        <v>2.2000000000000001E-3</v>
      </c>
      <c r="BB20" s="14">
        <v>2.2000000000000001E-3</v>
      </c>
      <c r="BC20" s="14">
        <v>2.2000000000000001E-3</v>
      </c>
      <c r="BD20" s="14">
        <v>2.0999999999999999E-3</v>
      </c>
      <c r="BE20" s="14">
        <v>2.0999999999999999E-3</v>
      </c>
      <c r="BF20" s="14">
        <v>2.0999999999999999E-3</v>
      </c>
      <c r="BG20" s="14">
        <v>2.0999999999999999E-3</v>
      </c>
      <c r="BH20" s="14">
        <v>2.0999999999999999E-3</v>
      </c>
      <c r="BI20" s="14">
        <v>2.0999999999999999E-3</v>
      </c>
      <c r="BJ20" s="14">
        <v>2.0999999999999999E-3</v>
      </c>
      <c r="BK20" s="14">
        <v>2E-3</v>
      </c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</row>
    <row r="21" spans="2:89" ht="18" customHeight="1">
      <c r="B21" s="31"/>
      <c r="C21" s="15">
        <v>5</v>
      </c>
      <c r="D21" s="14">
        <v>4.7999999999999996E-3</v>
      </c>
      <c r="E21" s="14">
        <v>5.1000000000000004E-3</v>
      </c>
      <c r="F21" s="14">
        <v>5.4000000000000003E-3</v>
      </c>
      <c r="G21" s="14">
        <v>5.4999999999999997E-3</v>
      </c>
      <c r="H21" s="14">
        <v>5.5999999999999999E-3</v>
      </c>
      <c r="I21" s="14">
        <v>5.7000000000000002E-3</v>
      </c>
      <c r="J21" s="14">
        <v>5.7999999999999996E-3</v>
      </c>
      <c r="K21" s="14">
        <v>5.7999999999999996E-3</v>
      </c>
      <c r="L21" s="14">
        <v>5.8999999999999999E-3</v>
      </c>
      <c r="M21" s="14">
        <v>5.8999999999999999E-3</v>
      </c>
      <c r="N21" s="14">
        <v>5.8999999999999999E-3</v>
      </c>
      <c r="O21" s="14">
        <v>5.8999999999999999E-3</v>
      </c>
      <c r="P21" s="14">
        <v>6.0000000000000001E-3</v>
      </c>
      <c r="Q21" s="14">
        <v>6.0000000000000001E-3</v>
      </c>
      <c r="R21" s="14">
        <v>6.0000000000000001E-3</v>
      </c>
      <c r="S21" s="14">
        <v>6.0000000000000001E-3</v>
      </c>
      <c r="T21" s="14">
        <v>5.8999999999999999E-3</v>
      </c>
      <c r="U21" s="14">
        <v>5.8999999999999999E-3</v>
      </c>
      <c r="V21" s="14">
        <v>5.8999999999999999E-3</v>
      </c>
      <c r="W21" s="14">
        <v>5.8999999999999999E-3</v>
      </c>
      <c r="X21" s="14">
        <v>5.8999999999999999E-3</v>
      </c>
      <c r="Y21" s="14">
        <v>5.7999999999999996E-3</v>
      </c>
      <c r="Z21" s="14">
        <v>5.7999999999999996E-3</v>
      </c>
      <c r="AA21" s="14">
        <v>5.7999999999999996E-3</v>
      </c>
      <c r="AB21" s="14">
        <v>5.7000000000000002E-3</v>
      </c>
      <c r="AC21" s="14">
        <v>5.7000000000000002E-3</v>
      </c>
      <c r="AD21" s="14">
        <v>5.5999999999999999E-3</v>
      </c>
      <c r="AE21" s="14">
        <v>5.5999999999999999E-3</v>
      </c>
      <c r="AF21" s="14">
        <v>5.4999999999999997E-3</v>
      </c>
      <c r="AG21" s="14">
        <v>5.4999999999999997E-3</v>
      </c>
      <c r="AH21" s="14">
        <v>5.4000000000000003E-3</v>
      </c>
      <c r="AI21" s="14">
        <v>5.4000000000000003E-3</v>
      </c>
      <c r="AJ21" s="14">
        <v>5.3E-3</v>
      </c>
      <c r="AK21" s="14">
        <v>5.3E-3</v>
      </c>
      <c r="AL21" s="14">
        <v>5.1999999999999998E-3</v>
      </c>
      <c r="AM21" s="14">
        <v>5.1999999999999998E-3</v>
      </c>
      <c r="AN21" s="14">
        <v>5.1000000000000004E-3</v>
      </c>
      <c r="AO21" s="14">
        <v>5.1000000000000004E-3</v>
      </c>
      <c r="AP21" s="14">
        <v>5.0000000000000001E-3</v>
      </c>
      <c r="AQ21" s="14">
        <v>5.0000000000000001E-3</v>
      </c>
      <c r="AR21" s="14">
        <v>4.8999999999999998E-3</v>
      </c>
      <c r="AS21" s="14">
        <v>4.8999999999999998E-3</v>
      </c>
      <c r="AT21" s="14">
        <v>4.7999999999999996E-3</v>
      </c>
      <c r="AU21" s="14">
        <v>4.7999999999999996E-3</v>
      </c>
      <c r="AV21" s="14">
        <v>4.7000000000000002E-3</v>
      </c>
      <c r="AW21" s="14">
        <v>4.7000000000000002E-3</v>
      </c>
      <c r="AX21" s="14">
        <v>4.5999999999999999E-3</v>
      </c>
      <c r="AY21" s="14">
        <v>4.5999999999999999E-3</v>
      </c>
      <c r="AZ21" s="14">
        <v>4.4999999999999997E-3</v>
      </c>
      <c r="BA21" s="14">
        <v>4.4999999999999997E-3</v>
      </c>
      <c r="BB21" s="14">
        <v>4.4000000000000003E-3</v>
      </c>
      <c r="BC21" s="14">
        <v>4.4000000000000003E-3</v>
      </c>
      <c r="BD21" s="14">
        <v>4.3E-3</v>
      </c>
      <c r="BE21" s="14">
        <v>4.3E-3</v>
      </c>
      <c r="BF21" s="14">
        <v>4.1999999999999997E-3</v>
      </c>
      <c r="BG21" s="14">
        <v>4.1999999999999997E-3</v>
      </c>
      <c r="BH21" s="14">
        <v>4.1000000000000003E-3</v>
      </c>
      <c r="BI21" s="14">
        <v>4.1000000000000003E-3</v>
      </c>
      <c r="BJ21" s="14">
        <v>4.0000000000000001E-3</v>
      </c>
      <c r="BK21" s="14">
        <v>4.0000000000000001E-3</v>
      </c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</row>
    <row r="22" spans="2:89" ht="18" customHeight="1">
      <c r="B22" s="31"/>
      <c r="C22" s="15">
        <v>6</v>
      </c>
      <c r="D22" s="14">
        <v>8.9999999999999993E-3</v>
      </c>
      <c r="E22" s="14">
        <v>9.2999999999999992E-3</v>
      </c>
      <c r="F22" s="14">
        <v>9.5999999999999992E-3</v>
      </c>
      <c r="G22" s="14">
        <v>9.7999999999999997E-3</v>
      </c>
      <c r="H22" s="14">
        <v>0.01</v>
      </c>
      <c r="I22" s="14">
        <v>1.01E-2</v>
      </c>
      <c r="J22" s="14">
        <v>1.0200000000000001E-2</v>
      </c>
      <c r="K22" s="14">
        <v>1.03E-2</v>
      </c>
      <c r="L22" s="14">
        <v>1.04E-2</v>
      </c>
      <c r="M22" s="14">
        <v>1.0500000000000001E-2</v>
      </c>
      <c r="N22" s="14">
        <v>1.0500000000000001E-2</v>
      </c>
      <c r="O22" s="14">
        <v>1.06E-2</v>
      </c>
      <c r="P22" s="14">
        <v>1.06E-2</v>
      </c>
      <c r="Q22" s="14">
        <v>1.06E-2</v>
      </c>
      <c r="R22" s="14">
        <v>1.06E-2</v>
      </c>
      <c r="S22" s="14">
        <v>1.06E-2</v>
      </c>
      <c r="T22" s="14">
        <v>1.06E-2</v>
      </c>
      <c r="U22" s="14">
        <v>1.06E-2</v>
      </c>
      <c r="V22" s="14">
        <v>1.0500000000000001E-2</v>
      </c>
      <c r="W22" s="14">
        <v>1.0500000000000001E-2</v>
      </c>
      <c r="X22" s="14">
        <v>1.04E-2</v>
      </c>
      <c r="Y22" s="14">
        <v>1.04E-2</v>
      </c>
      <c r="Z22" s="14">
        <v>1.03E-2</v>
      </c>
      <c r="AA22" s="14">
        <v>1.03E-2</v>
      </c>
      <c r="AB22" s="14">
        <v>1.0200000000000001E-2</v>
      </c>
      <c r="AC22" s="14">
        <v>1.01E-2</v>
      </c>
      <c r="AD22" s="14">
        <v>0.01</v>
      </c>
      <c r="AE22" s="14">
        <v>0.01</v>
      </c>
      <c r="AF22" s="14">
        <v>9.9000000000000008E-3</v>
      </c>
      <c r="AG22" s="14">
        <v>9.7999999999999997E-3</v>
      </c>
      <c r="AH22" s="14">
        <v>9.7000000000000003E-3</v>
      </c>
      <c r="AI22" s="14">
        <v>9.5999999999999992E-3</v>
      </c>
      <c r="AJ22" s="14">
        <v>9.4999999999999998E-3</v>
      </c>
      <c r="AK22" s="14">
        <v>9.4000000000000004E-3</v>
      </c>
      <c r="AL22" s="14">
        <v>9.2999999999999992E-3</v>
      </c>
      <c r="AM22" s="14">
        <v>9.1999999999999998E-3</v>
      </c>
      <c r="AN22" s="14">
        <v>9.1000000000000004E-3</v>
      </c>
      <c r="AO22" s="14">
        <v>8.9999999999999993E-3</v>
      </c>
      <c r="AP22" s="14">
        <v>8.8999999999999999E-3</v>
      </c>
      <c r="AQ22" s="14">
        <v>8.8000000000000005E-3</v>
      </c>
      <c r="AR22" s="14">
        <v>8.6E-3</v>
      </c>
      <c r="AS22" s="14">
        <v>8.5000000000000006E-3</v>
      </c>
      <c r="AT22" s="14">
        <v>8.3999999999999995E-3</v>
      </c>
      <c r="AU22" s="14">
        <v>8.3000000000000001E-3</v>
      </c>
      <c r="AV22" s="14">
        <v>8.2000000000000007E-3</v>
      </c>
      <c r="AW22" s="14">
        <v>8.0999999999999996E-3</v>
      </c>
      <c r="AX22" s="14">
        <v>8.0000000000000002E-3</v>
      </c>
      <c r="AY22" s="14">
        <v>7.9000000000000008E-3</v>
      </c>
      <c r="AZ22" s="14">
        <v>7.7999999999999996E-3</v>
      </c>
      <c r="BA22" s="14">
        <v>7.7000000000000002E-3</v>
      </c>
      <c r="BB22" s="14">
        <v>7.4999999999999997E-3</v>
      </c>
      <c r="BC22" s="14">
        <v>7.4000000000000003E-3</v>
      </c>
      <c r="BD22" s="14">
        <v>7.3000000000000001E-3</v>
      </c>
      <c r="BE22" s="14">
        <v>7.1999999999999998E-3</v>
      </c>
      <c r="BF22" s="14">
        <v>7.1000000000000004E-3</v>
      </c>
      <c r="BG22" s="14">
        <v>7.0000000000000001E-3</v>
      </c>
      <c r="BH22" s="14">
        <v>6.8999999999999999E-3</v>
      </c>
      <c r="BI22" s="14">
        <v>6.7999999999999996E-3</v>
      </c>
      <c r="BJ22" s="14">
        <v>6.7000000000000002E-3</v>
      </c>
      <c r="BK22" s="14">
        <v>6.6E-3</v>
      </c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</row>
    <row r="23" spans="2:89" ht="18" customHeight="1">
      <c r="B23" s="31"/>
      <c r="C23" s="15">
        <v>7</v>
      </c>
      <c r="D23" s="14">
        <v>2.86E-2</v>
      </c>
      <c r="E23" s="14">
        <v>3.3300000000000003E-2</v>
      </c>
      <c r="F23" s="14">
        <v>2.7400000000000001E-2</v>
      </c>
      <c r="G23" s="14">
        <v>2.24E-2</v>
      </c>
      <c r="H23" s="14">
        <v>1.9099999999999999E-2</v>
      </c>
      <c r="I23" s="14">
        <v>1.7000000000000001E-2</v>
      </c>
      <c r="J23" s="14">
        <v>1.5699999999999999E-2</v>
      </c>
      <c r="K23" s="14">
        <v>1.4800000000000001E-2</v>
      </c>
      <c r="L23" s="14">
        <v>1.41E-2</v>
      </c>
      <c r="M23" s="14">
        <v>1.3599999999999999E-2</v>
      </c>
      <c r="N23" s="14">
        <v>1.32E-2</v>
      </c>
      <c r="O23" s="14">
        <v>1.29E-2</v>
      </c>
      <c r="P23" s="14">
        <v>1.26E-2</v>
      </c>
      <c r="Q23" s="14">
        <v>1.23E-2</v>
      </c>
      <c r="R23" s="14">
        <v>1.21E-2</v>
      </c>
      <c r="S23" s="14">
        <v>1.1900000000000001E-2</v>
      </c>
      <c r="T23" s="14">
        <v>1.17E-2</v>
      </c>
      <c r="U23" s="14">
        <v>1.15E-2</v>
      </c>
      <c r="V23" s="14">
        <v>1.1299999999999999E-2</v>
      </c>
      <c r="W23" s="14">
        <v>1.12E-2</v>
      </c>
      <c r="X23" s="14">
        <v>1.0999999999999999E-2</v>
      </c>
      <c r="Y23" s="14">
        <v>1.09E-2</v>
      </c>
      <c r="Z23" s="14">
        <v>1.0800000000000001E-2</v>
      </c>
      <c r="AA23" s="14">
        <v>1.06E-2</v>
      </c>
      <c r="AB23" s="14">
        <v>1.0500000000000001E-2</v>
      </c>
      <c r="AC23" s="14">
        <v>1.04E-2</v>
      </c>
      <c r="AD23" s="14">
        <v>1.03E-2</v>
      </c>
      <c r="AE23" s="14">
        <v>1.01E-2</v>
      </c>
      <c r="AF23" s="14">
        <v>0.01</v>
      </c>
      <c r="AG23" s="14">
        <v>9.9000000000000008E-3</v>
      </c>
      <c r="AH23" s="14">
        <v>9.7999999999999997E-3</v>
      </c>
      <c r="AI23" s="14">
        <v>9.7000000000000003E-3</v>
      </c>
      <c r="AJ23" s="14">
        <v>9.5999999999999992E-3</v>
      </c>
      <c r="AK23" s="14">
        <v>9.4999999999999998E-3</v>
      </c>
      <c r="AL23" s="14">
        <v>9.4000000000000004E-3</v>
      </c>
      <c r="AM23" s="14">
        <v>9.2999999999999992E-3</v>
      </c>
      <c r="AN23" s="14">
        <v>9.1999999999999998E-3</v>
      </c>
      <c r="AO23" s="14">
        <v>9.1999999999999998E-3</v>
      </c>
      <c r="AP23" s="14">
        <v>9.1000000000000004E-3</v>
      </c>
      <c r="AQ23" s="14">
        <v>8.9999999999999993E-3</v>
      </c>
      <c r="AR23" s="14">
        <v>8.8999999999999999E-3</v>
      </c>
      <c r="AS23" s="14">
        <v>8.8000000000000005E-3</v>
      </c>
      <c r="AT23" s="14">
        <v>8.6999999999999994E-3</v>
      </c>
      <c r="AU23" s="14">
        <v>8.6E-3</v>
      </c>
      <c r="AV23" s="14">
        <v>8.6E-3</v>
      </c>
      <c r="AW23" s="14">
        <v>8.5000000000000006E-3</v>
      </c>
      <c r="AX23" s="14">
        <v>8.3999999999999995E-3</v>
      </c>
      <c r="AY23" s="14">
        <v>8.3000000000000001E-3</v>
      </c>
      <c r="AZ23" s="14">
        <v>8.2000000000000007E-3</v>
      </c>
      <c r="BA23" s="14">
        <v>8.2000000000000007E-3</v>
      </c>
      <c r="BB23" s="14">
        <v>8.0999999999999996E-3</v>
      </c>
      <c r="BC23" s="14">
        <v>8.0000000000000002E-3</v>
      </c>
      <c r="BD23" s="14">
        <v>7.9000000000000008E-3</v>
      </c>
      <c r="BE23" s="14">
        <v>7.9000000000000008E-3</v>
      </c>
      <c r="BF23" s="14">
        <v>7.7999999999999996E-3</v>
      </c>
      <c r="BG23" s="14">
        <v>7.7000000000000002E-3</v>
      </c>
      <c r="BH23" s="14">
        <v>7.6E-3</v>
      </c>
      <c r="BI23" s="14">
        <v>7.6E-3</v>
      </c>
      <c r="BJ23" s="14">
        <v>7.4999999999999997E-3</v>
      </c>
      <c r="BK23" s="14">
        <v>7.4000000000000003E-3</v>
      </c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</row>
    <row r="24" spans="2:89" ht="18" customHeight="1">
      <c r="B24" s="31"/>
      <c r="C24" s="15">
        <v>8</v>
      </c>
      <c r="D24" s="14">
        <v>3.3799999999999997E-2</v>
      </c>
      <c r="E24" s="14">
        <v>3.3500000000000002E-2</v>
      </c>
      <c r="F24" s="14">
        <v>3.3099999999999997E-2</v>
      </c>
      <c r="G24" s="14">
        <v>3.2599999999999997E-2</v>
      </c>
      <c r="H24" s="14">
        <v>3.2199999999999999E-2</v>
      </c>
      <c r="I24" s="14">
        <v>3.1699999999999999E-2</v>
      </c>
      <c r="J24" s="14">
        <v>3.1300000000000001E-2</v>
      </c>
      <c r="K24" s="14">
        <v>3.09E-2</v>
      </c>
      <c r="L24" s="14">
        <v>3.04E-2</v>
      </c>
      <c r="M24" s="14">
        <v>0.03</v>
      </c>
      <c r="N24" s="14">
        <v>2.9499999999999998E-2</v>
      </c>
      <c r="O24" s="14">
        <v>2.9100000000000001E-2</v>
      </c>
      <c r="P24" s="14">
        <v>2.86E-2</v>
      </c>
      <c r="Q24" s="14">
        <v>2.8199999999999999E-2</v>
      </c>
      <c r="R24" s="14">
        <v>2.7799999999999998E-2</v>
      </c>
      <c r="S24" s="14">
        <v>2.7300000000000001E-2</v>
      </c>
      <c r="T24" s="14">
        <v>2.69E-2</v>
      </c>
      <c r="U24" s="14">
        <v>2.6499999999999999E-2</v>
      </c>
      <c r="V24" s="14">
        <v>2.5999999999999999E-2</v>
      </c>
      <c r="W24" s="14">
        <v>2.5600000000000001E-2</v>
      </c>
      <c r="X24" s="14">
        <v>2.52E-2</v>
      </c>
      <c r="Y24" s="14">
        <v>2.47E-2</v>
      </c>
      <c r="Z24" s="14">
        <v>2.4299999999999999E-2</v>
      </c>
      <c r="AA24" s="14">
        <v>2.3900000000000001E-2</v>
      </c>
      <c r="AB24" s="14">
        <v>2.35E-2</v>
      </c>
      <c r="AC24" s="14">
        <v>2.3099999999999999E-2</v>
      </c>
      <c r="AD24" s="14">
        <v>2.2700000000000001E-2</v>
      </c>
      <c r="AE24" s="14">
        <v>2.23E-2</v>
      </c>
      <c r="AF24" s="14">
        <v>2.1899999999999999E-2</v>
      </c>
      <c r="AG24" s="14">
        <v>2.1499999999999998E-2</v>
      </c>
      <c r="AH24" s="14">
        <v>2.1100000000000001E-2</v>
      </c>
      <c r="AI24" s="14">
        <v>2.07E-2</v>
      </c>
      <c r="AJ24" s="14">
        <v>2.0299999999999999E-2</v>
      </c>
      <c r="AK24" s="14">
        <v>1.9900000000000001E-2</v>
      </c>
      <c r="AL24" s="14">
        <v>1.9599999999999999E-2</v>
      </c>
      <c r="AM24" s="14">
        <v>1.9199999999999998E-2</v>
      </c>
      <c r="AN24" s="14">
        <v>1.8800000000000001E-2</v>
      </c>
      <c r="AO24" s="14">
        <v>1.8499999999999999E-2</v>
      </c>
      <c r="AP24" s="14">
        <v>1.8100000000000002E-2</v>
      </c>
      <c r="AQ24" s="14">
        <v>1.78E-2</v>
      </c>
      <c r="AR24" s="14">
        <v>1.7399999999999999E-2</v>
      </c>
      <c r="AS24" s="14">
        <v>1.7100000000000001E-2</v>
      </c>
      <c r="AT24" s="14">
        <v>1.6799999999999999E-2</v>
      </c>
      <c r="AU24" s="14">
        <v>1.6400000000000001E-2</v>
      </c>
      <c r="AV24" s="14">
        <v>1.61E-2</v>
      </c>
      <c r="AW24" s="14">
        <v>1.5800000000000002E-2</v>
      </c>
      <c r="AX24" s="14">
        <v>1.55E-2</v>
      </c>
      <c r="AY24" s="14">
        <v>1.52E-2</v>
      </c>
      <c r="AZ24" s="14">
        <v>1.49E-2</v>
      </c>
      <c r="BA24" s="14">
        <v>1.46E-2</v>
      </c>
      <c r="BB24" s="14">
        <v>1.43E-2</v>
      </c>
      <c r="BC24" s="14">
        <v>1.4E-2</v>
      </c>
      <c r="BD24" s="14">
        <v>1.37E-2</v>
      </c>
      <c r="BE24" s="14">
        <v>1.35E-2</v>
      </c>
      <c r="BF24" s="14">
        <v>1.32E-2</v>
      </c>
      <c r="BG24" s="14">
        <v>1.29E-2</v>
      </c>
      <c r="BH24" s="14">
        <v>1.2699999999999999E-2</v>
      </c>
      <c r="BI24" s="14">
        <v>1.24E-2</v>
      </c>
      <c r="BJ24" s="14">
        <v>1.2200000000000001E-2</v>
      </c>
      <c r="BK24" s="14">
        <v>1.1900000000000001E-2</v>
      </c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</row>
    <row r="25" spans="2:89" ht="18" customHeight="1">
      <c r="B25" s="31"/>
      <c r="C25" s="4" t="s">
        <v>85</v>
      </c>
      <c r="D25" s="14">
        <v>1</v>
      </c>
      <c r="E25" s="15" t="e">
        <v>#DIV/0!</v>
      </c>
      <c r="F25" s="15" t="e">
        <v>#DIV/0!</v>
      </c>
      <c r="G25" s="15" t="e">
        <v>#DIV/0!</v>
      </c>
      <c r="H25" s="15" t="e">
        <v>#DIV/0!</v>
      </c>
      <c r="I25" s="15" t="e">
        <v>#DIV/0!</v>
      </c>
      <c r="J25" s="15" t="e">
        <v>#DIV/0!</v>
      </c>
      <c r="K25" s="15" t="e">
        <v>#DIV/0!</v>
      </c>
      <c r="L25" s="15" t="e">
        <v>#DIV/0!</v>
      </c>
      <c r="M25" s="15" t="e">
        <v>#DIV/0!</v>
      </c>
      <c r="N25" s="15" t="e">
        <v>#DIV/0!</v>
      </c>
      <c r="O25" s="15" t="e">
        <v>#DIV/0!</v>
      </c>
      <c r="P25" s="15" t="e">
        <v>#DIV/0!</v>
      </c>
      <c r="Q25" s="15" t="e">
        <v>#DIV/0!</v>
      </c>
      <c r="R25" s="15" t="e">
        <v>#DIV/0!</v>
      </c>
      <c r="S25" s="15" t="e">
        <v>#DIV/0!</v>
      </c>
      <c r="T25" s="15" t="e">
        <v>#DIV/0!</v>
      </c>
      <c r="U25" s="15" t="e">
        <v>#DIV/0!</v>
      </c>
      <c r="V25" s="15" t="e">
        <v>#DIV/0!</v>
      </c>
      <c r="W25" s="15" t="e">
        <v>#DIV/0!</v>
      </c>
      <c r="X25" s="15" t="e">
        <v>#DIV/0!</v>
      </c>
      <c r="Y25" s="15" t="e">
        <v>#DIV/0!</v>
      </c>
      <c r="Z25" s="15" t="e">
        <v>#DIV/0!</v>
      </c>
      <c r="AA25" s="15" t="e">
        <v>#DIV/0!</v>
      </c>
      <c r="AB25" s="15" t="e">
        <v>#DIV/0!</v>
      </c>
      <c r="AC25" s="15" t="e">
        <v>#DIV/0!</v>
      </c>
      <c r="AD25" s="15" t="e">
        <v>#DIV/0!</v>
      </c>
      <c r="AE25" s="15" t="e">
        <v>#DIV/0!</v>
      </c>
      <c r="AF25" s="15" t="e">
        <v>#DIV/0!</v>
      </c>
      <c r="AG25" s="15" t="e">
        <v>#DIV/0!</v>
      </c>
      <c r="AH25" s="15" t="e">
        <v>#DIV/0!</v>
      </c>
      <c r="AI25" s="15" t="e">
        <v>#DIV/0!</v>
      </c>
      <c r="AJ25" s="15" t="e">
        <v>#DIV/0!</v>
      </c>
      <c r="AK25" s="15" t="e">
        <v>#DIV/0!</v>
      </c>
      <c r="AL25" s="15" t="e">
        <v>#DIV/0!</v>
      </c>
      <c r="AM25" s="15" t="e">
        <v>#DIV/0!</v>
      </c>
      <c r="AN25" s="15" t="e">
        <v>#DIV/0!</v>
      </c>
      <c r="AO25" s="15" t="e">
        <v>#DIV/0!</v>
      </c>
      <c r="AP25" s="15" t="e">
        <v>#DIV/0!</v>
      </c>
      <c r="AQ25" s="15" t="e">
        <v>#DIV/0!</v>
      </c>
      <c r="AR25" s="15" t="e">
        <v>#DIV/0!</v>
      </c>
      <c r="AS25" s="15" t="e">
        <v>#DIV/0!</v>
      </c>
      <c r="AT25" s="15" t="e">
        <v>#DIV/0!</v>
      </c>
      <c r="AU25" s="15" t="e">
        <v>#DIV/0!</v>
      </c>
      <c r="AV25" s="15" t="e">
        <v>#DIV/0!</v>
      </c>
      <c r="AW25" s="15" t="e">
        <v>#DIV/0!</v>
      </c>
      <c r="AX25" s="15" t="e">
        <v>#DIV/0!</v>
      </c>
      <c r="AY25" s="15" t="e">
        <v>#DIV/0!</v>
      </c>
      <c r="AZ25" s="15" t="e">
        <v>#DIV/0!</v>
      </c>
      <c r="BA25" s="15" t="e">
        <v>#DIV/0!</v>
      </c>
      <c r="BB25" s="15" t="e">
        <v>#DIV/0!</v>
      </c>
      <c r="BC25" s="15" t="e">
        <v>#DIV/0!</v>
      </c>
      <c r="BD25" s="15" t="e">
        <v>#DIV/0!</v>
      </c>
      <c r="BE25" s="15" t="e">
        <v>#DIV/0!</v>
      </c>
      <c r="BF25" s="15" t="e">
        <v>#DIV/0!</v>
      </c>
      <c r="BG25" s="15" t="e">
        <v>#DIV/0!</v>
      </c>
      <c r="BH25" s="15" t="e">
        <v>#DIV/0!</v>
      </c>
      <c r="BI25" s="15" t="e">
        <v>#DIV/0!</v>
      </c>
      <c r="BJ25" s="15" t="e">
        <v>#DIV/0!</v>
      </c>
      <c r="BK25" s="15" t="e">
        <v>#DIV/0!</v>
      </c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</row>
    <row r="26" spans="2:89" ht="18" customHeight="1">
      <c r="B26" s="31"/>
      <c r="C26" s="24"/>
      <c r="D26" s="30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</row>
    <row r="27" spans="2:89" ht="18" customHeight="1">
      <c r="B27" s="32"/>
      <c r="C27" s="18" t="s">
        <v>87</v>
      </c>
      <c r="D27" s="17">
        <f t="shared" ref="D27:AI27" si="1">SUMPRODUCT($K$31:$K$38,D17:D24)/SUM($K$31:$K$38)</f>
        <v>1.9193971146370598E-3</v>
      </c>
      <c r="E27" s="17">
        <f t="shared" si="1"/>
        <v>2.0742147020677069E-3</v>
      </c>
      <c r="F27" s="17">
        <f t="shared" si="1"/>
        <v>2.0801771651355453E-3</v>
      </c>
      <c r="G27" s="17">
        <f t="shared" si="1"/>
        <v>2.0309204880828062E-3</v>
      </c>
      <c r="H27" s="17">
        <f t="shared" si="1"/>
        <v>1.9939335339668181E-3</v>
      </c>
      <c r="I27" s="17">
        <f t="shared" si="1"/>
        <v>2.0169880170679212E-3</v>
      </c>
      <c r="J27" s="17">
        <f t="shared" si="1"/>
        <v>2.0043887673540143E-3</v>
      </c>
      <c r="K27" s="17">
        <f t="shared" si="1"/>
        <v>2.0225166651866777E-3</v>
      </c>
      <c r="L27" s="17">
        <f t="shared" si="1"/>
        <v>2.0596862194604869E-3</v>
      </c>
      <c r="M27" s="17">
        <f t="shared" si="1"/>
        <v>2.0458886426302243E-3</v>
      </c>
      <c r="N27" s="17">
        <f t="shared" si="1"/>
        <v>2.0341882124103555E-3</v>
      </c>
      <c r="O27" s="17">
        <f t="shared" si="1"/>
        <v>2.0692609518614797E-3</v>
      </c>
      <c r="P27" s="17">
        <f t="shared" si="1"/>
        <v>2.0598284269672997E-3</v>
      </c>
      <c r="Q27" s="17">
        <f t="shared" si="1"/>
        <v>2.0442662097725182E-3</v>
      </c>
      <c r="R27" s="17">
        <f t="shared" si="1"/>
        <v>2.0377166080631937E-3</v>
      </c>
      <c r="S27" s="17">
        <f t="shared" si="1"/>
        <v>2.0668820980087343E-3</v>
      </c>
      <c r="T27" s="17">
        <f t="shared" si="1"/>
        <v>2.0870267663680646E-3</v>
      </c>
      <c r="U27" s="17">
        <f t="shared" si="1"/>
        <v>2.0804771646587396E-3</v>
      </c>
      <c r="V27" s="17">
        <f t="shared" si="1"/>
        <v>2.059007697958375E-3</v>
      </c>
      <c r="W27" s="17">
        <f t="shared" si="1"/>
        <v>2.0454619195025519E-3</v>
      </c>
      <c r="X27" s="17">
        <f t="shared" si="1"/>
        <v>2.0739807201162015E-3</v>
      </c>
      <c r="Y27" s="17">
        <f t="shared" si="1"/>
        <v>2.06404526204856E-3</v>
      </c>
      <c r="Z27" s="17">
        <f t="shared" si="1"/>
        <v>2.0467184044892601E-3</v>
      </c>
      <c r="AA27" s="17">
        <f t="shared" si="1"/>
        <v>2.0321644066639581E-3</v>
      </c>
      <c r="AB27" s="17">
        <f t="shared" si="1"/>
        <v>2.0135778631484485E-3</v>
      </c>
      <c r="AC27" s="17">
        <f t="shared" si="1"/>
        <v>2.0431048831315774E-3</v>
      </c>
      <c r="AD27" s="17">
        <f t="shared" si="1"/>
        <v>2.0604766917569103E-3</v>
      </c>
      <c r="AE27" s="17">
        <f t="shared" si="1"/>
        <v>2.0459226939316079E-3</v>
      </c>
      <c r="AF27" s="17">
        <f t="shared" si="1"/>
        <v>2.0273361504160987E-3</v>
      </c>
      <c r="AG27" s="17">
        <f t="shared" si="1"/>
        <v>2.0100092928567988E-3</v>
      </c>
      <c r="AH27" s="17">
        <f t="shared" si="1"/>
        <v>1.9914227493412892E-3</v>
      </c>
      <c r="AI27" s="17">
        <f t="shared" si="1"/>
        <v>1.9740958917819893E-3</v>
      </c>
      <c r="AJ27" s="17">
        <f t="shared" ref="AJ27:BK27" si="2">SUMPRODUCT($K$31:$K$38,AJ17:AJ24)/SUM($K$31:$K$38)</f>
        <v>1.9555093482664797E-3</v>
      </c>
      <c r="AK27" s="17">
        <f t="shared" si="2"/>
        <v>1.9850363682496091E-3</v>
      </c>
      <c r="AL27" s="17">
        <f t="shared" si="2"/>
        <v>1.9695842145056853E-3</v>
      </c>
      <c r="AM27" s="17">
        <f t="shared" si="2"/>
        <v>1.9522573569463856E-3</v>
      </c>
      <c r="AN27" s="17">
        <f t="shared" si="2"/>
        <v>1.9336708134308764E-3</v>
      </c>
      <c r="AO27" s="17">
        <f t="shared" si="2"/>
        <v>1.9564449171534841E-3</v>
      </c>
      <c r="AP27" s="17">
        <f t="shared" si="2"/>
        <v>1.9378583736379741E-3</v>
      </c>
      <c r="AQ27" s="17">
        <f t="shared" si="2"/>
        <v>1.9236659058502609E-3</v>
      </c>
      <c r="AR27" s="17">
        <f t="shared" si="2"/>
        <v>1.9012982832312749E-3</v>
      </c>
      <c r="AS27" s="17">
        <f t="shared" si="2"/>
        <v>1.8871058154435612E-3</v>
      </c>
      <c r="AT27" s="17">
        <f t="shared" si="2"/>
        <v>1.8716536616996374E-3</v>
      </c>
      <c r="AU27" s="17">
        <f t="shared" si="2"/>
        <v>1.854326804140338E-3</v>
      </c>
      <c r="AV27" s="17">
        <f t="shared" si="2"/>
        <v>1.8318784736499161E-3</v>
      </c>
      <c r="AW27" s="17">
        <f t="shared" si="2"/>
        <v>1.8176860058622022E-3</v>
      </c>
      <c r="AX27" s="17">
        <f t="shared" si="2"/>
        <v>1.8022338521182788E-3</v>
      </c>
      <c r="AY27" s="17">
        <f t="shared" si="2"/>
        <v>1.7880413843305652E-3</v>
      </c>
      <c r="AZ27" s="17">
        <f t="shared" si="2"/>
        <v>1.7725892305866418E-3</v>
      </c>
      <c r="BA27" s="17">
        <f t="shared" si="2"/>
        <v>1.7594049821684069E-3</v>
      </c>
      <c r="BB27" s="17">
        <f t="shared" si="2"/>
        <v>1.7401717493210069E-3</v>
      </c>
      <c r="BC27" s="17">
        <f t="shared" si="2"/>
        <v>1.7619376336741354E-3</v>
      </c>
      <c r="BD27" s="17">
        <f t="shared" si="2"/>
        <v>1.7384810838142343E-3</v>
      </c>
      <c r="BE27" s="17">
        <f t="shared" si="2"/>
        <v>1.7284312251675859E-3</v>
      </c>
      <c r="BF27" s="17">
        <f t="shared" si="2"/>
        <v>1.7129790714236624E-3</v>
      </c>
      <c r="BG27" s="17">
        <f t="shared" si="2"/>
        <v>1.6987866036359488E-3</v>
      </c>
      <c r="BH27" s="17">
        <f t="shared" si="2"/>
        <v>1.6864688396636112E-3</v>
      </c>
      <c r="BI27" s="17">
        <f t="shared" si="2"/>
        <v>1.6732845912453766E-3</v>
      </c>
      <c r="BJ27" s="17">
        <f t="shared" si="2"/>
        <v>1.6609668272730392E-3</v>
      </c>
      <c r="BK27" s="17">
        <f t="shared" si="2"/>
        <v>1.6387699633693483E-3</v>
      </c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</row>
    <row r="28" spans="2:89" ht="18" customHeight="1">
      <c r="B28" s="32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</row>
    <row r="29" spans="2:89" ht="18" customHeight="1">
      <c r="B29" s="32"/>
      <c r="C29" s="21" t="s">
        <v>88</v>
      </c>
      <c r="D29" s="20"/>
      <c r="E29" s="20"/>
      <c r="F29" s="21" t="s">
        <v>89</v>
      </c>
      <c r="G29" s="20"/>
      <c r="H29" s="25"/>
      <c r="I29" s="25"/>
      <c r="J29" s="27" t="s">
        <v>90</v>
      </c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</row>
    <row r="30" spans="2:89" ht="18" customHeight="1">
      <c r="B30" s="32"/>
      <c r="C30" s="12" t="s">
        <v>91</v>
      </c>
      <c r="D30" s="22" t="s">
        <v>92</v>
      </c>
      <c r="E30" s="20"/>
      <c r="F30" s="12" t="s">
        <v>93</v>
      </c>
      <c r="G30" s="80" t="s">
        <v>92</v>
      </c>
      <c r="H30" s="81"/>
      <c r="I30" s="25"/>
      <c r="J30" s="6" t="s">
        <v>94</v>
      </c>
      <c r="K30" s="6" t="s">
        <v>95</v>
      </c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</row>
    <row r="31" spans="2:89" ht="18" customHeight="1">
      <c r="B31" s="32"/>
      <c r="C31" s="67" t="s">
        <v>96</v>
      </c>
      <c r="D31" s="8">
        <v>67927708416</v>
      </c>
      <c r="E31" s="20"/>
      <c r="F31" s="9">
        <v>1</v>
      </c>
      <c r="G31" s="78">
        <v>7970079598</v>
      </c>
      <c r="H31" s="79"/>
      <c r="I31" s="25"/>
      <c r="J31" s="19">
        <v>1</v>
      </c>
      <c r="K31" s="33">
        <f>G31+G32</f>
        <v>20676710060</v>
      </c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</row>
    <row r="32" spans="2:89" ht="18" customHeight="1">
      <c r="B32" s="32"/>
      <c r="C32" s="67" t="s">
        <v>97</v>
      </c>
      <c r="D32" s="8">
        <v>1790608984</v>
      </c>
      <c r="E32" s="20"/>
      <c r="F32" s="9">
        <v>2</v>
      </c>
      <c r="G32" s="78">
        <v>12706630462</v>
      </c>
      <c r="H32" s="79"/>
      <c r="I32" s="25"/>
      <c r="J32" s="19">
        <v>2</v>
      </c>
      <c r="K32" s="33">
        <f>G33</f>
        <v>26941836415</v>
      </c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</row>
    <row r="33" spans="3:89" ht="18" customHeight="1">
      <c r="C33" s="67" t="s">
        <v>98</v>
      </c>
      <c r="D33" s="8">
        <v>48397514</v>
      </c>
      <c r="E33" s="20"/>
      <c r="F33" s="9">
        <v>3</v>
      </c>
      <c r="G33" s="78">
        <v>26941836415</v>
      </c>
      <c r="H33" s="79"/>
      <c r="I33" s="25"/>
      <c r="J33" s="19">
        <v>3</v>
      </c>
      <c r="K33" s="34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</row>
    <row r="34" spans="3:89" ht="18" customHeight="1">
      <c r="C34" s="67" t="s">
        <v>99</v>
      </c>
      <c r="D34" s="8">
        <v>11722454</v>
      </c>
      <c r="E34" s="20"/>
      <c r="F34" s="9">
        <v>4</v>
      </c>
      <c r="G34" s="78">
        <v>4602674145</v>
      </c>
      <c r="H34" s="79"/>
      <c r="I34" s="25"/>
      <c r="J34" s="19">
        <v>4</v>
      </c>
      <c r="K34" s="33">
        <f>G34</f>
        <v>4602674145</v>
      </c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</row>
    <row r="35" spans="3:89" ht="18" customHeight="1">
      <c r="C35" s="67" t="s">
        <v>100</v>
      </c>
      <c r="D35" s="8">
        <v>1072709362</v>
      </c>
      <c r="E35" s="20"/>
      <c r="F35" s="9">
        <v>5</v>
      </c>
      <c r="G35" s="78">
        <v>724342461</v>
      </c>
      <c r="H35" s="79"/>
      <c r="I35" s="25"/>
      <c r="J35" s="19">
        <v>5</v>
      </c>
      <c r="K35" s="33">
        <f t="shared" ref="K35" si="3">G35</f>
        <v>724342461</v>
      </c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</row>
    <row r="36" spans="3:89" ht="18" customHeight="1">
      <c r="C36" s="7" t="s">
        <v>101</v>
      </c>
      <c r="D36" s="9" t="s">
        <v>102</v>
      </c>
      <c r="E36" s="20"/>
      <c r="F36" s="9">
        <v>6</v>
      </c>
      <c r="G36" s="78">
        <v>2174189630</v>
      </c>
      <c r="H36" s="79"/>
      <c r="I36" s="25"/>
      <c r="J36" s="19">
        <v>6</v>
      </c>
      <c r="K36" s="33">
        <f>G36</f>
        <v>2174189630</v>
      </c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</row>
    <row r="37" spans="3:89" ht="18" customHeight="1">
      <c r="C37" s="20"/>
      <c r="D37" s="20"/>
      <c r="E37" s="20"/>
      <c r="F37" s="9">
        <v>7</v>
      </c>
      <c r="G37" s="78">
        <v>531347061</v>
      </c>
      <c r="H37" s="79"/>
      <c r="I37" s="25"/>
      <c r="J37" s="19">
        <v>7</v>
      </c>
      <c r="K37" s="33">
        <f>G37+D33</f>
        <v>579744575</v>
      </c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</row>
    <row r="38" spans="3:89" ht="18" customHeight="1">
      <c r="C38" s="20"/>
      <c r="D38" s="20"/>
      <c r="E38" s="20"/>
      <c r="F38" s="9" t="s">
        <v>103</v>
      </c>
      <c r="G38" s="78">
        <v>12276608643</v>
      </c>
      <c r="H38" s="79"/>
      <c r="I38" s="25"/>
      <c r="J38" s="19">
        <v>8</v>
      </c>
      <c r="K38" s="33">
        <f>D32+D34</f>
        <v>1802331438</v>
      </c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</row>
    <row r="39" spans="3:89" ht="18" customHeight="1">
      <c r="C39" s="20"/>
      <c r="D39" s="20"/>
      <c r="E39" s="20"/>
      <c r="F39" s="35" t="s">
        <v>104</v>
      </c>
      <c r="G39" s="78">
        <v>67927708416</v>
      </c>
      <c r="H39" s="79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</row>
    <row r="40" spans="3:89" ht="18" customHeight="1"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</row>
    <row r="41" spans="3:89" ht="18" customHeight="1"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</row>
    <row r="42" spans="3:89" ht="18" customHeight="1"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</row>
    <row r="43" spans="3:89" ht="18" customHeight="1"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</row>
    <row r="44" spans="3:89" ht="18" customHeight="1"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</row>
    <row r="45" spans="3:89" ht="18" customHeight="1"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</row>
    <row r="46" spans="3:89" ht="18" customHeight="1"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</row>
    <row r="47" spans="3:89" ht="18" customHeight="1"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</row>
    <row r="48" spans="3:89" ht="18" customHeight="1"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K48" s="32"/>
    </row>
    <row r="49" ht="18" customHeight="1"/>
    <row r="50" ht="18" customHeight="1"/>
    <row r="51" ht="18" customHeight="1"/>
    <row r="52" ht="18" customHeight="1"/>
  </sheetData>
  <sheetProtection password="C758" sheet="1" objects="1" scenarios="1" selectLockedCells="1" selectUnlockedCells="1"/>
  <mergeCells count="10">
    <mergeCell ref="G39:H3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</mergeCells>
  <phoneticPr fontId="12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C12"/>
  <sheetViews>
    <sheetView workbookViewId="0">
      <selection activeCell="C20" sqref="C20"/>
    </sheetView>
  </sheetViews>
  <sheetFormatPr defaultRowHeight="21.75"/>
  <cols>
    <col min="2" max="2" width="32.140625" customWidth="1"/>
    <col min="3" max="4" width="43.42578125" customWidth="1"/>
  </cols>
  <sheetData>
    <row r="2" spans="2:3">
      <c r="B2" s="42" t="s">
        <v>105</v>
      </c>
    </row>
    <row r="3" spans="2:3">
      <c r="B3" s="36" t="s">
        <v>106</v>
      </c>
      <c r="C3" s="37">
        <v>950473.82614507328</v>
      </c>
    </row>
    <row r="4" spans="2:3">
      <c r="B4" s="36" t="s">
        <v>107</v>
      </c>
      <c r="C4" s="37">
        <v>665599.61012972251</v>
      </c>
    </row>
    <row r="5" spans="2:3">
      <c r="B5" s="36" t="s">
        <v>108</v>
      </c>
      <c r="C5" s="37">
        <v>373148.31874174997</v>
      </c>
    </row>
    <row r="6" spans="2:3">
      <c r="B6" s="36" t="s">
        <v>109</v>
      </c>
      <c r="C6" s="38">
        <v>57.537216527873611</v>
      </c>
    </row>
    <row r="7" spans="2:3">
      <c r="B7" s="36" t="s">
        <v>110</v>
      </c>
      <c r="C7" s="38">
        <v>37.482230363337052</v>
      </c>
    </row>
    <row r="8" spans="2:3">
      <c r="B8" s="36" t="s">
        <v>111</v>
      </c>
      <c r="C8" s="39">
        <v>0.71837799739079322</v>
      </c>
    </row>
    <row r="9" spans="2:3">
      <c r="B9" s="36" t="s">
        <v>112</v>
      </c>
      <c r="C9" s="40">
        <v>2.4239000164188664</v>
      </c>
    </row>
    <row r="10" spans="2:3">
      <c r="B10" s="36" t="s">
        <v>113</v>
      </c>
      <c r="C10" s="40">
        <v>4.6147501738848478</v>
      </c>
    </row>
    <row r="11" spans="2:3">
      <c r="B11" s="36" t="s">
        <v>114</v>
      </c>
      <c r="C11" s="41" t="s">
        <v>115</v>
      </c>
    </row>
    <row r="12" spans="2:3">
      <c r="B12" s="36" t="s">
        <v>116</v>
      </c>
      <c r="C12" s="41" t="s">
        <v>115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42850BDF984C7D4F80AC36AFB9246B13" ma:contentTypeVersion="2" ma:contentTypeDescription="สร้างเอกสารใหม่" ma:contentTypeScope="" ma:versionID="7c4a56dbd908f59b39977b150c1e0ae0">
  <xsd:schema xmlns:xsd="http://www.w3.org/2001/XMLSchema" xmlns:xs="http://www.w3.org/2001/XMLSchema" xmlns:p="http://schemas.microsoft.com/office/2006/metadata/properties" xmlns:ns2="6f764d59-a33c-4d62-8cb4-bd4c880e5b01" targetNamespace="http://schemas.microsoft.com/office/2006/metadata/properties" ma:root="true" ma:fieldsID="8668482812c94b40276fa40b0dfb78a5" ns2:_="">
    <xsd:import namespace="6f764d59-a33c-4d62-8cb4-bd4c880e5b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764d59-a33c-4d62-8cb4-bd4c880e5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408273-A61D-4D04-9AD4-AC170B505415}"/>
</file>

<file path=customXml/itemProps2.xml><?xml version="1.0" encoding="utf-8"?>
<ds:datastoreItem xmlns:ds="http://schemas.openxmlformats.org/officeDocument/2006/customXml" ds:itemID="{53055E08-0D00-4384-861E-B906D75039D6}"/>
</file>

<file path=customXml/itemProps3.xml><?xml version="1.0" encoding="utf-8"?>
<ds:datastoreItem xmlns:ds="http://schemas.openxmlformats.org/officeDocument/2006/customXml" ds:itemID="{399C2A50-FDA3-4F2F-A45C-46E343905A0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TFB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pattaree.t</dc:creator>
  <cp:keywords/>
  <dc:description/>
  <cp:lastModifiedBy>Korkiat Sermsakskul</cp:lastModifiedBy>
  <cp:revision/>
  <dcterms:created xsi:type="dcterms:W3CDTF">2001-02-26T03:36:38Z</dcterms:created>
  <dcterms:modified xsi:type="dcterms:W3CDTF">2021-09-07T02:23:21Z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0x01010042850BDF984C7D4F80AC36AFB9246B13</vt:lpwstr>
  </property>
</Properties>
</file>