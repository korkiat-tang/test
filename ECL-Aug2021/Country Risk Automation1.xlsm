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korkiat.s\OneDrive - KASIKORNBANKGROUP\Downloads\ECL-Aug2021\"/>
    </mc:Choice>
  </mc:AlternateContent>
  <bookViews>
    <workbookView xWindow="-120" yWindow="-120" windowWidth="20730" windowHeight="11160"/>
  </bookViews>
  <sheets>
    <sheet name="Exposure" sheetId="15" r:id="rId1"/>
  </sheets>
  <definedNames>
    <definedName name="FX_CNY_THB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15" l="1"/>
  <c r="I16" i="15"/>
  <c r="K16" i="15" s="1"/>
  <c r="I11" i="15"/>
  <c r="I13" i="15"/>
  <c r="H21" i="15"/>
  <c r="I21" i="15" s="1"/>
  <c r="K21" i="15" s="1"/>
  <c r="K20" i="15"/>
  <c r="H17" i="15"/>
  <c r="I17" i="15" s="1"/>
  <c r="K17" i="15" s="1"/>
  <c r="H13" i="15" l="1"/>
  <c r="K13" i="15" s="1"/>
  <c r="H9" i="15" l="1"/>
  <c r="H10" i="15"/>
  <c r="H11" i="15"/>
  <c r="H12" i="15"/>
  <c r="H8" i="15" l="1"/>
  <c r="I8" i="15" l="1"/>
  <c r="K8" i="15" s="1"/>
  <c r="I9" i="15"/>
  <c r="K9" i="15" s="1"/>
  <c r="I10" i="15"/>
  <c r="K10" i="15" s="1"/>
  <c r="K11" i="15"/>
  <c r="I12" i="15"/>
  <c r="K12" i="15" s="1"/>
  <c r="H7" i="15"/>
  <c r="I7" i="15" s="1"/>
  <c r="K7" i="15" s="1"/>
</calcChain>
</file>

<file path=xl/sharedStrings.xml><?xml version="1.0" encoding="utf-8"?>
<sst xmlns="http://schemas.openxmlformats.org/spreadsheetml/2006/main" count="28" uniqueCount="21">
  <si>
    <t>SUMITOMO MITSUI BANKING CORP</t>
  </si>
  <si>
    <t>Kasikornbank Public Company Limited (NUSD)</t>
  </si>
  <si>
    <t>Kasikornbank Public Company Limited (NTHB)</t>
  </si>
  <si>
    <t>KASIKORNBANK PUBLIC COMPANY LIMITED;开泰银行（中国）有限公司深圳分行;开泰银行（中国）有限公司深圳龙岗支行;泰国开泰银行（大众）有限公司成都分行</t>
  </si>
  <si>
    <t>渣打银行（香港）有限公司</t>
  </si>
  <si>
    <t>Product</t>
    <phoneticPr fontId="1" type="noConversion"/>
  </si>
  <si>
    <t>TPBNK10011</t>
  </si>
  <si>
    <t>TPBNK10021</t>
  </si>
  <si>
    <t>TPDLC10011</t>
  </si>
  <si>
    <t>Hongsa Power Co., Ltd.</t>
  </si>
  <si>
    <t>Nostro</t>
  </si>
  <si>
    <t>Loan</t>
  </si>
  <si>
    <t>Bank Name</t>
    <phoneticPr fontId="1" type="noConversion"/>
  </si>
  <si>
    <t>Outstanding CNY</t>
    <phoneticPr fontId="1" type="noConversion"/>
  </si>
  <si>
    <t>纽约梅隆银行</t>
  </si>
  <si>
    <t xml:space="preserve">Joint Stock Commercial Bank for Investment &amp; Development of Vietnam </t>
  </si>
  <si>
    <t>Vietnam Technological and Commercial Joint Stock Bank</t>
  </si>
  <si>
    <t>原币种</t>
    <phoneticPr fontId="1" type="noConversion"/>
  </si>
  <si>
    <t>人民币</t>
    <phoneticPr fontId="1" type="noConversion"/>
  </si>
  <si>
    <t>Country Risk</t>
    <phoneticPr fontId="1" type="noConversion"/>
  </si>
  <si>
    <t>Bond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</si>
</sst>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[$-F400]h:mm:ss\ AM/PM"/>
    <numFmt numFmtId="166" formatCode="_ * #,##0.0000_ ;_ * \-#,##0.0000_ ;_ * &quot;-&quot;??_ ;_ @_ "/>
  </numFmts>
  <fonts count="10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10"/>
      <name val="Arial"/>
      <family val="2"/>
    </font>
    <font>
      <sz val="11"/>
      <color theme="1"/>
      <name val="Calibri"/>
      <family val="2"/>
      <charset val="134"/>
      <scheme val="minor"/>
    </font>
    <font>
      <sz val="10"/>
      <color theme="1"/>
      <name val="Arial"/>
      <family val="2"/>
    </font>
    <font>
      <sz val="11"/>
      <color theme="1"/>
      <name val="宋体"/>
      <family val="3"/>
      <charset val="134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sz val="11"/>
      <color rgb="FFFF0000"/>
      <name val="Century Gothic"/>
      <family val="2"/>
    </font>
    <font>
      <sz val="1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5">
    <xf numFmtId="165" fontId="0" fillId="0" borderId="0">
      <alignment vertical="center"/>
    </xf>
    <xf numFmtId="164" fontId="3" fillId="0" borderId="0" applyFont="0" applyFill="0" applyBorder="0" applyAlignment="0" applyProtection="0">
      <alignment vertical="center"/>
    </xf>
    <xf numFmtId="165" fontId="3" fillId="0" borderId="0">
      <alignment vertical="center"/>
    </xf>
    <xf numFmtId="165" fontId="3" fillId="0" borderId="0">
      <alignment vertical="center"/>
    </xf>
    <xf numFmtId="164" fontId="3" fillId="0" borderId="0" applyFont="0" applyFill="0" applyBorder="0" applyAlignment="0" applyProtection="0">
      <alignment vertical="center"/>
    </xf>
  </cellStyleXfs>
  <cellXfs count="19">
    <xf numFmtId="165" fontId="0" fillId="0" borderId="0" xfId="0">
      <alignment vertical="center"/>
    </xf>
    <xf numFmtId="165" fontId="6" fillId="0" borderId="0" xfId="0" applyFont="1">
      <alignment vertical="center"/>
    </xf>
    <xf numFmtId="165" fontId="7" fillId="0" borderId="0" xfId="0" applyFont="1">
      <alignment vertical="center"/>
    </xf>
    <xf numFmtId="164" fontId="6" fillId="0" borderId="0" xfId="1" applyFont="1">
      <alignment vertical="center"/>
    </xf>
    <xf numFmtId="164" fontId="4" fillId="0" borderId="1" xfId="1" applyFont="1" applyBorder="1" applyAlignment="1" applyProtection="1">
      <alignment horizontal="right" vertical="center"/>
      <protection locked="0"/>
    </xf>
    <xf numFmtId="166" fontId="4" fillId="0" borderId="1" xfId="1" applyNumberFormat="1" applyFont="1" applyBorder="1" applyAlignment="1" applyProtection="1">
      <alignment horizontal="right" vertical="center"/>
      <protection locked="0"/>
    </xf>
    <xf numFmtId="165" fontId="5" fillId="0" borderId="0" xfId="0" applyFont="1">
      <alignment vertical="center"/>
    </xf>
    <xf numFmtId="165" fontId="6" fillId="0" borderId="0" xfId="0" applyFont="1" applyFill="1">
      <alignment vertical="center"/>
    </xf>
    <xf numFmtId="166" fontId="4" fillId="0" borderId="1" xfId="1" applyNumberFormat="1" applyFont="1" applyFill="1" applyBorder="1" applyAlignment="1" applyProtection="1">
      <alignment horizontal="right" vertical="center"/>
      <protection locked="0"/>
    </xf>
    <xf numFmtId="164" fontId="6" fillId="0" borderId="0" xfId="1" applyFont="1" applyFill="1">
      <alignment vertical="center"/>
    </xf>
    <xf numFmtId="164" fontId="8" fillId="0" borderId="0" xfId="1" applyFont="1" applyFill="1">
      <alignment vertical="center"/>
    </xf>
    <xf numFmtId="164" fontId="6" fillId="0" borderId="0" xfId="0" applyNumberFormat="1" applyFont="1" applyFill="1">
      <alignment vertical="center"/>
    </xf>
    <xf numFmtId="164" fontId="9" fillId="0" borderId="0" xfId="1" applyFont="1">
      <alignment vertical="center"/>
    </xf>
    <xf numFmtId="164" fontId="9" fillId="0" borderId="0" xfId="1" applyFont="1" applyFill="1">
      <alignment vertical="center"/>
    </xf>
    <xf numFmtId="164" fontId="2" fillId="0" borderId="1" xfId="1" applyFont="1" applyBorder="1" applyAlignment="1" applyProtection="1">
      <alignment horizontal="right" vertical="center"/>
      <protection locked="0"/>
    </xf>
    <xf numFmtId="164" fontId="7" fillId="0" borderId="0" xfId="1" applyFont="1">
      <alignment vertical="center"/>
    </xf>
    <xf numFmtId="165" fontId="6" fillId="0" borderId="0" xfId="0" applyFont="1">
      <alignment vertical="center"/>
    </xf>
    <xf numFmtId="165" fontId="6" fillId="0" borderId="0" xfId="0" applyFont="1" applyFill="1">
      <alignment vertical="center"/>
    </xf>
    <xf numFmtId="165" fontId="6" fillId="2" borderId="0" xfId="0" applyFont="1" applyFill="1" applyAlignment="1">
      <alignment horizontal="center" vertical="center"/>
    </xf>
  </cellXfs>
  <cellStyles count="5">
    <cellStyle name="Comma" xfId="1" builtinId="3"/>
    <cellStyle name="Normal" xfId="0" builtinId="0"/>
    <cellStyle name="Normal 2" xfId="2"/>
    <cellStyle name="千位分隔 2" xfId="4"/>
    <cellStyle name="常规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5:L21"/>
  <sheetViews>
    <sheetView tabSelected="1" workbookViewId="0">
      <selection activeCell="D25" sqref="D25"/>
    </sheetView>
  </sheetViews>
  <sheetFormatPr defaultColWidth="9" defaultRowHeight="13.5"/>
  <cols>
    <col min="1" max="2" width="9" style="1"/>
    <col min="3" max="3" width="47.6328125" style="1" bestFit="1" customWidth="1"/>
    <col min="4" max="4" width="12.26953125" style="1" bestFit="1" customWidth="1"/>
    <col min="5" max="5" width="16.7265625" style="3" customWidth="1"/>
    <col min="6" max="6" width="9" style="1"/>
    <col min="7" max="7" width="16" style="1" bestFit="1" customWidth="1"/>
    <col min="8" max="8" width="14.36328125" style="1" bestFit="1" customWidth="1"/>
    <col min="9" max="9" width="15.36328125" style="1" customWidth="1"/>
    <col min="10" max="10" width="13.90625" style="3" customWidth="1"/>
    <col min="11" max="11" width="14.26953125" style="1" customWidth="1"/>
    <col min="12" max="12" width="14.36328125" style="1" bestFit="1" customWidth="1"/>
    <col min="13" max="16384" width="9" style="1"/>
  </cols>
  <sheetData>
    <row r="5" spans="3:12">
      <c r="H5" s="3"/>
      <c r="I5" s="18" t="s">
        <v>19</v>
      </c>
      <c r="J5" s="18"/>
      <c r="K5" s="18"/>
    </row>
    <row r="6" spans="3:12" ht="14">
      <c r="C6" s="2" t="s">
        <v>12</v>
      </c>
      <c r="D6" s="2" t="s">
        <v>5</v>
      </c>
      <c r="E6" s="15" t="s">
        <v>13</v>
      </c>
      <c r="I6" s="6" t="s">
        <v>17</v>
      </c>
      <c r="K6" s="6" t="s">
        <v>18</v>
      </c>
    </row>
    <row r="7" spans="3:12">
      <c r="C7" s="1" t="s">
        <v>14</v>
      </c>
      <c r="D7" s="1" t="s">
        <v>10</v>
      </c>
      <c r="E7" s="3">
        <v>141.17979371774214</v>
      </c>
      <c r="G7" s="5">
        <v>6.4729999999999999</v>
      </c>
      <c r="H7" s="14">
        <f>E7*1000000/G7</f>
        <v>21810565.999960165</v>
      </c>
      <c r="I7" s="12">
        <f>H7*0.005</f>
        <v>109052.82999980083</v>
      </c>
      <c r="K7" s="3">
        <f>I7*G7</f>
        <v>705898.96858871076</v>
      </c>
      <c r="L7" s="3"/>
    </row>
    <row r="8" spans="3:12">
      <c r="C8" s="1" t="s">
        <v>4</v>
      </c>
      <c r="D8" s="1" t="s">
        <v>10</v>
      </c>
      <c r="E8" s="3">
        <v>20.644098574964115</v>
      </c>
      <c r="G8" s="5">
        <v>6.4729999999999999</v>
      </c>
      <c r="H8" s="14">
        <f>E8*1000000/G8</f>
        <v>3189262.872696449</v>
      </c>
      <c r="I8" s="12">
        <f t="shared" ref="I8:I12" si="0">H8*0.005</f>
        <v>15946.314363482246</v>
      </c>
      <c r="K8" s="3">
        <f t="shared" ref="K8:K12" si="1">I8*G8</f>
        <v>103220.49287482057</v>
      </c>
      <c r="L8" s="3"/>
    </row>
    <row r="9" spans="3:12" s="7" customFormat="1">
      <c r="C9" s="7" t="s">
        <v>0</v>
      </c>
      <c r="D9" s="7" t="s">
        <v>10</v>
      </c>
      <c r="E9" s="9">
        <v>0.16722348199969456</v>
      </c>
      <c r="F9" s="11"/>
      <c r="G9" s="5">
        <v>6.4729999999999999</v>
      </c>
      <c r="H9" s="14">
        <f t="shared" ref="H9:H12" si="2">E9*1000000/G9</f>
        <v>25833.999999952812</v>
      </c>
      <c r="I9" s="12">
        <f t="shared" si="0"/>
        <v>129.16999999976406</v>
      </c>
      <c r="J9" s="9"/>
      <c r="K9" s="3">
        <f t="shared" si="1"/>
        <v>836.11740999847268</v>
      </c>
      <c r="L9" s="9"/>
    </row>
    <row r="10" spans="3:12" s="7" customFormat="1">
      <c r="C10" s="1" t="s">
        <v>1</v>
      </c>
      <c r="D10" s="1" t="s">
        <v>10</v>
      </c>
      <c r="E10" s="9">
        <v>2.3271941441975761</v>
      </c>
      <c r="G10" s="5">
        <v>6.4729999999999999</v>
      </c>
      <c r="H10" s="14">
        <f t="shared" si="2"/>
        <v>359523.27270161844</v>
      </c>
      <c r="I10" s="12">
        <f t="shared" si="0"/>
        <v>1797.6163635080923</v>
      </c>
      <c r="J10" s="10"/>
      <c r="K10" s="3">
        <f t="shared" si="1"/>
        <v>11635.970720987882</v>
      </c>
      <c r="L10" s="9"/>
    </row>
    <row r="11" spans="3:12" s="7" customFormat="1">
      <c r="C11" s="7" t="s">
        <v>2</v>
      </c>
      <c r="D11" s="7" t="s">
        <v>10</v>
      </c>
      <c r="E11" s="9">
        <v>2.6096354010029632</v>
      </c>
      <c r="F11" s="11"/>
      <c r="G11" s="5">
        <v>0.19779654647229861</v>
      </c>
      <c r="H11" s="14">
        <f t="shared" si="2"/>
        <v>13193533.69685068</v>
      </c>
      <c r="I11" s="12">
        <f>H11*0.005</f>
        <v>65967.668484253401</v>
      </c>
      <c r="J11" s="10"/>
      <c r="K11" s="3">
        <f t="shared" si="1"/>
        <v>13048.177005014815</v>
      </c>
      <c r="L11" s="9"/>
    </row>
    <row r="12" spans="3:12" s="7" customFormat="1">
      <c r="C12" s="7" t="s">
        <v>3</v>
      </c>
      <c r="D12" s="7" t="s">
        <v>6</v>
      </c>
      <c r="E12" s="9"/>
      <c r="G12" s="5">
        <v>6.4729999999999999</v>
      </c>
      <c r="H12" s="14">
        <f t="shared" si="2"/>
        <v>0</v>
      </c>
      <c r="I12" s="12">
        <f t="shared" si="0"/>
        <v>0</v>
      </c>
      <c r="J12" s="10"/>
      <c r="K12" s="3">
        <f t="shared" si="1"/>
        <v>0</v>
      </c>
      <c r="L12" s="9"/>
    </row>
    <row r="13" spans="3:12" s="7" customFormat="1">
      <c r="C13" s="17" t="s">
        <v>3</v>
      </c>
      <c r="D13" s="17" t="s">
        <v>7</v>
      </c>
      <c r="E13" s="9"/>
      <c r="G13" s="5">
        <v>6.4729999999999999</v>
      </c>
      <c r="H13" s="14">
        <f t="shared" ref="H13" si="3">E13*1000000/G13</f>
        <v>0</v>
      </c>
      <c r="I13" s="12">
        <f>H13*0.005</f>
        <v>0</v>
      </c>
      <c r="J13" s="9"/>
      <c r="K13" s="3">
        <f t="shared" ref="K13" si="4">I13*G13</f>
        <v>0</v>
      </c>
      <c r="L13" s="9"/>
    </row>
    <row r="14" spans="3:12" s="7" customFormat="1">
      <c r="C14" s="1" t="s">
        <v>16</v>
      </c>
      <c r="D14" s="1" t="s">
        <v>8</v>
      </c>
      <c r="E14" s="9"/>
      <c r="G14" s="5">
        <v>6.4729999999999999</v>
      </c>
      <c r="H14" s="14"/>
      <c r="I14" s="12"/>
      <c r="J14" s="9"/>
      <c r="K14" s="3"/>
      <c r="L14" s="9"/>
    </row>
    <row r="15" spans="3:12" s="7" customFormat="1">
      <c r="C15" s="7" t="s">
        <v>15</v>
      </c>
      <c r="D15" s="7" t="s">
        <v>8</v>
      </c>
      <c r="E15" s="9"/>
      <c r="G15" s="5">
        <v>6.4729999999999999</v>
      </c>
      <c r="H15" s="4"/>
      <c r="I15" s="12"/>
      <c r="J15" s="9"/>
      <c r="K15" s="3"/>
      <c r="L15" s="9"/>
    </row>
    <row r="16" spans="3:12" s="7" customFormat="1">
      <c r="C16" s="7" t="s">
        <v>9</v>
      </c>
      <c r="D16" s="7" t="s">
        <v>11</v>
      </c>
      <c r="E16" s="9">
        <v>106.39993749980565</v>
      </c>
      <c r="G16" s="5">
        <v>6.4729999999999999</v>
      </c>
      <c r="H16" s="14">
        <f>E16*1000000/G16</f>
        <v>16437499.999969974</v>
      </c>
      <c r="I16" s="12">
        <f>H16*0.005</f>
        <v>82187.499999849868</v>
      </c>
      <c r="J16" s="9"/>
      <c r="K16" s="9">
        <f>I16*G16</f>
        <v>531999.68749902816</v>
      </c>
      <c r="L16" s="9"/>
    </row>
    <row r="17" spans="3:12" s="7" customFormat="1">
      <c r="C17" s="16" t="s">
        <v>0</v>
      </c>
      <c r="D17" s="16" t="s">
        <v>20</v>
      </c>
      <c r="E17" s="9">
        <v>100</v>
      </c>
      <c r="F17" s="16"/>
      <c r="G17" s="8">
        <v>1</v>
      </c>
      <c r="H17" s="14">
        <f t="shared" ref="H17" si="5">E17*1000000/G17</f>
        <v>100000000</v>
      </c>
      <c r="I17" s="12">
        <f>H17*0.005</f>
        <v>500000</v>
      </c>
      <c r="J17" s="9"/>
      <c r="K17" s="3">
        <f t="shared" ref="K17" si="6">I17*G17</f>
        <v>500000</v>
      </c>
      <c r="L17" s="9"/>
    </row>
    <row r="18" spans="3:12" s="7" customFormat="1">
      <c r="C18" s="16"/>
      <c r="D18" s="16"/>
      <c r="E18" s="9"/>
      <c r="F18" s="16"/>
      <c r="G18" s="8"/>
      <c r="H18" s="14"/>
      <c r="I18" s="12"/>
      <c r="J18" s="9"/>
      <c r="K18" s="3"/>
    </row>
    <row r="19" spans="3:12" s="7" customFormat="1">
      <c r="C19" s="16"/>
      <c r="D19" s="16"/>
      <c r="E19" s="9"/>
      <c r="F19" s="16"/>
      <c r="G19" s="8"/>
      <c r="H19" s="4"/>
      <c r="I19" s="12"/>
      <c r="J19" s="9"/>
      <c r="K19" s="3"/>
    </row>
    <row r="20" spans="3:12" s="7" customFormat="1">
      <c r="C20" s="16"/>
      <c r="D20" s="16"/>
      <c r="E20" s="9"/>
      <c r="F20" s="16"/>
      <c r="G20" s="8"/>
      <c r="H20" s="4"/>
      <c r="I20" s="13"/>
      <c r="J20" s="9"/>
      <c r="K20" s="9">
        <f t="shared" ref="K20:K21" si="7">I20*G20</f>
        <v>0</v>
      </c>
    </row>
    <row r="21" spans="3:12">
      <c r="C21" s="16"/>
      <c r="D21" s="16"/>
      <c r="E21" s="9">
        <v>1</v>
      </c>
      <c r="F21" s="16"/>
      <c r="G21" s="5">
        <v>6.4733999999999998</v>
      </c>
      <c r="H21" s="4">
        <f>E21*1000000/G21</f>
        <v>154478.3266907653</v>
      </c>
      <c r="I21" s="13">
        <f>H21</f>
        <v>154478.3266907653</v>
      </c>
      <c r="J21" s="9"/>
      <c r="K21" s="9">
        <f t="shared" si="7"/>
        <v>1000000.0000000001</v>
      </c>
    </row>
  </sheetData>
  <mergeCells count="1">
    <mergeCell ref="I5:K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Exposure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Zhipeng Yang</dc:creator>
  <cp:lastModifiedBy>Korkiat Sermsakskul</cp:lastModifiedBy>
  <dcterms:created xsi:type="dcterms:W3CDTF">2018-02-08T01:23:20Z</dcterms:created>
  <dcterms:modified xsi:type="dcterms:W3CDTF">2021-09-06T08:30:26Z</dcterms:modified>
</cp:coreProperties>
</file>